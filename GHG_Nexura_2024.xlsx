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8.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6.xml" ContentType="application/vnd.openxmlformats-officedocument.spreadsheetml.comments+xml"/>
  <Override PartName="/xl/charts/chart1.xml" ContentType="application/vnd.openxmlformats-officedocument.drawingml.chart+xml"/>
  <Override PartName="/xl/drawings/_rels/drawing2.xml.rels" ContentType="application/vnd.openxmlformats-package.relationships+xml"/>
  <Override PartName="/xl/drawings/_rels/drawing1.xml.rels" ContentType="application/vnd.openxmlformats-package.relationship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jpeg" ContentType="image/jpe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9"/>
  </bookViews>
  <sheets>
    <sheet name="Assumptions" sheetId="1" state="visible" r:id="rId3"/>
    <sheet name="Emission Factors" sheetId="2" state="visible" r:id="rId4"/>
    <sheet name="Scope 1" sheetId="3" state="visible" r:id="rId5"/>
    <sheet name="Scope 2" sheetId="4" state="visible" r:id="rId6"/>
    <sheet name="Scope 3" sheetId="5" state="visible" r:id="rId7"/>
    <sheet name="Summary &amp; Intensity" sheetId="6" state="visible" r:id="rId8"/>
    <sheet name="Trend Analysis" sheetId="7" state="visible" r:id="rId9"/>
    <sheet name="Reduction Trajectory" sheetId="8" state="visible" r:id="rId10"/>
    <sheet name="Documentation" sheetId="9" state="visible" r:id="rId11"/>
    <sheet name="EF hubs" sheetId="10" state="visible" r:id="rId12"/>
    <sheet name="📊 Dashboard" sheetId="11" state="hidden" r:id="rId13"/>
  </sheet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C26" authorId="0">
      <text>
        <r>
          <rPr>
            <sz val="10"/>
            <rFont val="Arial"/>
            <family val="2"/>
          </rPr>
          <t xml:space="preserve">User:</t>
        </r>
      </text>
    </comment>
    <comment ref="C27" authorId="0">
      <text>
        <r>
          <rPr>
            <sz val="10"/>
            <rFont val="Arial"/>
            <family val="2"/>
          </rPr>
          <t xml:space="preserve">User:
</t>
        </r>
      </text>
    </comment>
    <comment ref="C28" authorId="0">
      <text>
        <r>
          <rPr>
            <sz val="10"/>
            <rFont val="Arial"/>
            <family val="2"/>
          </rPr>
          <t xml:space="preserve">.</t>
        </r>
      </text>
    </comment>
    <comment ref="D6" authorId="0">
      <text>
        <r>
          <rPr>
            <sz val="10"/>
            <rFont val="Arial"/>
            <family val="2"/>
          </rPr>
          <t xml:space="preserve">Scope 1 is stable: Minor reduction (1%) implies limited operational decarbonization or stable fleet/fuel use</t>
        </r>
      </text>
    </comment>
    <comment ref="D9" authorId="0">
      <text>
        <r>
          <rPr>
            <sz val="10"/>
            <rFont val="Arial"/>
            <family val="2"/>
          </rPr>
          <t xml:space="preserve">Scope 3 dominates: 97.4% of total emissions are value chain–related. This is typical for large organizations but signals major exposure to upstream/downstream activities</t>
        </r>
      </text>
    </comment>
    <comment ref="E5" authorId="0">
      <text>
        <r>
          <rPr>
            <sz val="10"/>
            <rFont val="Arial"/>
            <family val="2"/>
          </rPr>
          <t xml:space="preserve">User:
Location-Based emissions are 38× higher than Market-Based.
This confirms that renewable energy contracts (RECs, PPAs, etc.) are being used to reduce reported Scope 2 under MB rules.
However, the grid remains carbon-intensive
</t>
        </r>
      </text>
    </comment>
    <comment ref="E7" authorId="0">
      <text>
        <r>
          <rPr>
            <sz val="10"/>
            <rFont val="Arial"/>
            <family val="2"/>
          </rPr>
          <t xml:space="preserve">Scope 2 (MB) dropped sharply: A 34.1% reduction suggests a major shift in energy sourcing — likely increased renewable procurement or contract renegotiation.</t>
        </r>
      </text>
    </comment>
  </commentList>
</comments>
</file>

<file path=xl/sharedStrings.xml><?xml version="1.0" encoding="utf-8"?>
<sst xmlns="http://schemas.openxmlformats.org/spreadsheetml/2006/main" count="1976" uniqueCount="1210">
  <si>
    <t xml:space="preserve">CENTRAL ASSUMPTIONS — Fill This Sheet First</t>
  </si>
  <si>
    <t xml:space="preserve">All other sheets reference these cells. Update here and the whole model recalculates.</t>
  </si>
  <si>
    <t xml:space="preserve">SECTION A — COMPANY INFORMATION</t>
  </si>
  <si>
    <t xml:space="preserve">Company Name</t>
  </si>
  <si>
    <t xml:space="preserve">Nexura Logistics Group</t>
  </si>
  <si>
    <t xml:space="preserve">Used in all sheet headers</t>
  </si>
  <si>
    <t xml:space="preserve">Industry / Sector</t>
  </si>
  <si>
    <t xml:space="preserve">Transportation &amp; Logistics</t>
  </si>
  <si>
    <t xml:space="preserve">Affects SASB materiality and EF selection</t>
  </si>
  <si>
    <t xml:space="preserve">Primary Country of Operations</t>
  </si>
  <si>
    <t xml:space="preserve">United States</t>
  </si>
  <si>
    <t xml:space="preserve">Used to select default grid emission factor</t>
  </si>
  <si>
    <t xml:space="preserve">Reporting Year (Current)</t>
  </si>
  <si>
    <t xml:space="preserve">Year of primary data being analyzed</t>
  </si>
  <si>
    <t xml:space="preserve">Reporting Year (Prior 1)</t>
  </si>
  <si>
    <t xml:space="preserve">For trend analysis — enter in Trend sheet</t>
  </si>
  <si>
    <t xml:space="preserve">SECTION B — FINANCIAL METRICS (for Intensity Calculations)</t>
  </si>
  <si>
    <t xml:space="preserve">Annual Revenue (USD Millions)</t>
  </si>
  <si>
    <t xml:space="preserve">USD Millions</t>
  </si>
  <si>
    <t xml:space="preserve">Used to calculate carbon intensity per $M revenue</t>
  </si>
  <si>
    <t xml:space="preserve">Number of Employees (FTE)</t>
  </si>
  <si>
    <t xml:space="preserve">Headcount</t>
  </si>
  <si>
    <t xml:space="preserve">Used to calculate carbon intensity per employee</t>
  </si>
  <si>
    <t xml:space="preserve">Total Production Volume (units)</t>
  </si>
  <si>
    <t xml:space="preserve">N/A</t>
  </si>
  <si>
    <t xml:space="preserve">Microsoft is a software, cloud, and services company; no consolidated production-volume metric is reported.</t>
  </si>
  <si>
    <t xml:space="preserve">For manufacturing companies — carbon per unit produced</t>
  </si>
  <si>
    <t xml:space="preserve">Floor Space / Facility Area</t>
  </si>
  <si>
    <t xml:space="preserve">Microsoft does not publicly disclose total facility area in aggregate.</t>
  </si>
  <si>
    <t xml:space="preserve">For real estate, retail — carbon per m²</t>
  </si>
  <si>
    <t xml:space="preserve">Revenue Unit Note</t>
  </si>
  <si>
    <t xml:space="preserve">$3.85 Billion</t>
  </si>
  <si>
    <t xml:space="preserve">Text</t>
  </si>
  <si>
    <t xml:space="preserve">Important: ensure revenue is in $M not $B</t>
  </si>
  <si>
    <t xml:space="preserve">SECTION C — GLOBAL WARMING POTENTIAL (GWP) FACTORS — IPCC AR6 (2021)</t>
  </si>
  <si>
    <t xml:space="preserve">These factors convert non-CO₂ gases to CO₂ equivalents. AR6 values shown (default). Change only if your regulatory regime requires AR5 or AR4.</t>
  </si>
  <si>
    <t xml:space="preserve">Gas</t>
  </si>
  <si>
    <t xml:space="preserve">Chemical</t>
  </si>
  <si>
    <t xml:space="preserve">AR6 GWP (100-yr)</t>
  </si>
  <si>
    <t xml:space="preserve">AR5 GWP (100-yr)</t>
  </si>
  <si>
    <t xml:space="preserve">Your Selection</t>
  </si>
  <si>
    <t xml:space="preserve">Source</t>
  </si>
  <si>
    <t xml:space="preserve">Carbon Dioxide</t>
  </si>
  <si>
    <t xml:space="preserve">CO₂</t>
  </si>
  <si>
    <t xml:space="preserve">IPCC AR6, 2021</t>
  </si>
  <si>
    <t xml:space="preserve">Methane (fossil)</t>
  </si>
  <si>
    <t xml:space="preserve">CH₄</t>
  </si>
  <si>
    <t xml:space="preserve">IPCC AR6 WGI Table 7.SM.7</t>
  </si>
  <si>
    <t xml:space="preserve">Methane (biogenic)</t>
  </si>
  <si>
    <t xml:space="preserve">Nitrous Oxide</t>
  </si>
  <si>
    <t xml:space="preserve">N₂O</t>
  </si>
  <si>
    <t xml:space="preserve">HFC-134a (refrigerant)</t>
  </si>
  <si>
    <t xml:space="preserve">CH₂FCF₃</t>
  </si>
  <si>
    <t xml:space="preserve">IPCC AR6</t>
  </si>
  <si>
    <t xml:space="preserve">SF₆ (electrical equipment)</t>
  </si>
  <si>
    <t xml:space="preserve">SF₆</t>
  </si>
  <si>
    <t xml:space="preserve">Fiscal Year</t>
  </si>
  <si>
    <t xml:space="preserve">Revenue (USD)</t>
  </si>
  <si>
    <t xml:space="preserve">Employees</t>
  </si>
  <si>
    <t xml:space="preserve">EMISSION FACTORS REFERENCE LIBRARY — EPA, DEFRA, IEA 2023</t>
  </si>
  <si>
    <t xml:space="preserve">Reference only — do not edit. Factors are pre-loaded into calculation sheets. Update annually.</t>
  </si>
  <si>
    <t xml:space="preserve">TABLE 1 — STATIONARY COMBUSTION FACTORS (EPA Center for Corporate Climate Leadership 2023)</t>
  </si>
  <si>
    <t xml:space="preserve">#</t>
  </si>
  <si>
    <t xml:space="preserve">Fuel Type</t>
  </si>
  <si>
    <t xml:space="preserve">Unit</t>
  </si>
  <si>
    <t xml:space="preserve">CO₂ EF
(kgCO₂/unit)</t>
  </si>
  <si>
    <t xml:space="preserve">CH₄ EF
(gCH₄/unit)</t>
  </si>
  <si>
    <t xml:space="preserve">N₂O EF
(gN₂O/unit)</t>
  </si>
  <si>
    <t xml:space="preserve">Natural Gas</t>
  </si>
  <si>
    <t xml:space="preserve">MMBtu</t>
  </si>
  <si>
    <t xml:space="preserve">EPA 2023 Table 1</t>
  </si>
  <si>
    <t xml:space="preserve">m³</t>
  </si>
  <si>
    <t xml:space="preserve">EPA 2023 (converted)</t>
  </si>
  <si>
    <t xml:space="preserve">Propane</t>
  </si>
  <si>
    <t xml:space="preserve">Gallon</t>
  </si>
  <si>
    <t xml:space="preserve">Diesel Fuel / Fuel Oil No.2</t>
  </si>
  <si>
    <t xml:space="preserve">Litre</t>
  </si>
  <si>
    <t xml:space="preserve">Residual Fuel Oil (No. 6)</t>
  </si>
  <si>
    <t xml:space="preserve">LPG</t>
  </si>
  <si>
    <t xml:space="preserve">Coal — Bituminous</t>
  </si>
  <si>
    <t xml:space="preserve">Short Ton</t>
  </si>
  <si>
    <t xml:space="preserve">Coal — Sub-bituminous</t>
  </si>
  <si>
    <t xml:space="preserve">Wood / Wood Waste</t>
  </si>
  <si>
    <t xml:space="preserve">Municipal Solid Waste</t>
  </si>
  <si>
    <t xml:space="preserve">epa.gov/system/files/documents/2023-03/ghg_emission_factors_hub.pdf</t>
  </si>
  <si>
    <t xml:space="preserve">TABLE 2 — MOBILE COMBUSTION FACTORS (EPA 2023 / DEFRA 2023)</t>
  </si>
  <si>
    <t xml:space="preserve">Gasoline — Passenger Cars</t>
  </si>
  <si>
    <t xml:space="preserve">DEFRA 2023 / (2.35) EPA 2023</t>
  </si>
  <si>
    <t xml:space="preserve">Gasoline — Light-Duty Trucks</t>
  </si>
  <si>
    <t xml:space="preserve">DEFRA 2023 / EPA 2023</t>
  </si>
  <si>
    <t xml:space="preserve">Diesel — Passenger Cars</t>
  </si>
  <si>
    <t xml:space="preserve">DEFRA 2023 / (2.69) EPA</t>
  </si>
  <si>
    <t xml:space="preserve">Diesel — Heavy-Duty Trucks</t>
  </si>
  <si>
    <t xml:space="preserve">DEFRA 2023</t>
  </si>
  <si>
    <t xml:space="preserve">Aviation Fuel (Jet A / Jet A-1)</t>
  </si>
  <si>
    <t xml:space="preserve">DEFRA 2023 / (2.53) EPA </t>
  </si>
  <si>
    <t xml:space="preserve">Compressed Natural Gas (CNG)</t>
  </si>
  <si>
    <t xml:space="preserve">GJ</t>
  </si>
  <si>
    <t xml:space="preserve">EPA 2023 / (50.3) EPA</t>
  </si>
  <si>
    <t xml:space="preserve">Liquefied Natural Gas (LNG)</t>
  </si>
  <si>
    <t xml:space="preserve">TABLE 3 — ELECTRICITY GRID EMISSION FACTORS (IEA 2023 / EPA eGRID 2023)</t>
  </si>
  <si>
    <t xml:space="preserve">Country / Region / Grid</t>
  </si>
  <si>
    <t xml:space="preserve">kgCO₂e / MWh
(Location-Based)</t>
  </si>
  <si>
    <t xml:space="preserve">Year</t>
  </si>
  <si>
    <t xml:space="preserve">Notes</t>
  </si>
  <si>
    <t xml:space="preserve">US National Average</t>
  </si>
  <si>
    <t xml:space="preserve">~380-400</t>
  </si>
  <si>
    <t xml:space="preserve">EPA eGRID 2023</t>
  </si>
  <si>
    <t xml:space="preserve">Covers all NERC regions</t>
  </si>
  <si>
    <t xml:space="preserve">US — CAMX (California)</t>
  </si>
  <si>
    <t xml:space="preserve">High renewables</t>
  </si>
  <si>
    <t xml:space="preserve">US — ERCOT (Texas)</t>
  </si>
  <si>
    <t xml:space="preserve">Natural gas heavy</t>
  </si>
  <si>
    <t xml:space="preserve">US — RFC (PJM Interconnection)</t>
  </si>
  <si>
    <t xml:space="preserve">Northeast / Midwest</t>
  </si>
  <si>
    <t xml:space="preserve">US — WECC (Mountain)</t>
  </si>
  <si>
    <t xml:space="preserve">Mountain states</t>
  </si>
  <si>
    <t xml:space="preserve">Canada National Average</t>
  </si>
  <si>
    <t xml:space="preserve">110-140</t>
  </si>
  <si>
    <t xml:space="preserve">Environment Canada 2022</t>
  </si>
  <si>
    <t xml:space="preserve">High hydro share</t>
  </si>
  <si>
    <t xml:space="preserve">European Union Average</t>
  </si>
  <si>
    <t xml:space="preserve">230-260</t>
  </si>
  <si>
    <t xml:space="preserve">European Environment Agency 2022</t>
  </si>
  <si>
    <t xml:space="preserve">Weighted average</t>
  </si>
  <si>
    <t xml:space="preserve">Germany</t>
  </si>
  <si>
    <t xml:space="preserve">380-420</t>
  </si>
  <si>
    <t xml:space="preserve">IEA 2022</t>
  </si>
  <si>
    <t xml:space="preserve">Transitioning from coal</t>
  </si>
  <si>
    <t xml:space="preserve">France</t>
  </si>
  <si>
    <t xml:space="preserve">50-70</t>
  </si>
  <si>
    <t xml:space="preserve">Nuclear dominant</t>
  </si>
  <si>
    <t xml:space="preserve">United Kingdom</t>
  </si>
  <si>
    <t xml:space="preserve">Official UK government factor</t>
  </si>
  <si>
    <t xml:space="preserve">Sweden</t>
  </si>
  <si>
    <t xml:space="preserve">10-20</t>
  </si>
  <si>
    <t xml:space="preserve">Hydro + nuclear dominant</t>
  </si>
  <si>
    <t xml:space="preserve">Poland</t>
  </si>
  <si>
    <t xml:space="preserve">700-800</t>
  </si>
  <si>
    <t xml:space="preserve">Coal dominant</t>
  </si>
  <si>
    <t xml:space="preserve">China</t>
  </si>
  <si>
    <t xml:space="preserve">550-650</t>
  </si>
  <si>
    <t xml:space="preserve">High coal share</t>
  </si>
  <si>
    <t xml:space="preserve">India</t>
  </si>
  <si>
    <t xml:space="preserve">Japan</t>
  </si>
  <si>
    <t xml:space="preserve">450-500</t>
  </si>
  <si>
    <t xml:space="preserve">Post-Fukushima gas shift</t>
  </si>
  <si>
    <t xml:space="preserve">South Korea</t>
  </si>
  <si>
    <t xml:space="preserve">400-500</t>
  </si>
  <si>
    <t xml:space="preserve">Coal + nuclear mix</t>
  </si>
  <si>
    <t xml:space="preserve">Australia</t>
  </si>
  <si>
    <t xml:space="preserve">650-750</t>
  </si>
  <si>
    <t xml:space="preserve">Australian NGER 2022</t>
  </si>
  <si>
    <t xml:space="preserve">High coal NEM average</t>
  </si>
  <si>
    <t xml:space="preserve">Brazil</t>
  </si>
  <si>
    <t xml:space="preserve">100-150</t>
  </si>
  <si>
    <t xml:space="preserve">Brazilian EPE 2022</t>
  </si>
  <si>
    <t xml:space="preserve">Mexico</t>
  </si>
  <si>
    <t xml:space="preserve">Natural gas growing</t>
  </si>
  <si>
    <t xml:space="preserve">South Africa</t>
  </si>
  <si>
    <t xml:space="preserve">850-950</t>
  </si>
  <si>
    <t xml:space="preserve">World average</t>
  </si>
  <si>
    <t xml:space="preserve">~475</t>
  </si>
  <si>
    <t xml:space="preserve">SCOPE 1 — DIRECT GHG EMISSIONS  |  GHG Protocol: All sources your organization directly controls</t>
  </si>
  <si>
    <t xml:space="preserve">Enter activity data (fuel consumed, distance driven, refrigerant leaked). Emission factors are pre-loaded from EPA/DEFRA tables.</t>
  </si>
  <si>
    <t xml:space="preserve">PART A — STATIONARY COMBUSTION (Boilers, Furnaces, Generators, Turbines)</t>
  </si>
  <si>
    <t xml:space="preserve">Fuel Source</t>
  </si>
  <si>
    <t xml:space="preserve">Activity
Quantity</t>
  </si>
  <si>
    <t xml:space="preserve">Activity
Unit</t>
  </si>
  <si>
    <t xml:space="preserve">CO₂
(tCO₂)</t>
  </si>
  <si>
    <t xml:space="preserve">CH₄
(tCO₂e)</t>
  </si>
  <si>
    <t xml:space="preserve">N₂O
(tCO₂e)</t>
  </si>
  <si>
    <t xml:space="preserve">Total
(tCO₂e)</t>
  </si>
  <si>
    <t xml:space="preserve">Natural Gas a</t>
  </si>
  <si>
    <t xml:space="preserve">Cubic Metres (m³)</t>
  </si>
  <si>
    <t xml:space="preserve">Diesel Fuel / Fuel Oil No. 2 b</t>
  </si>
  <si>
    <t xml:space="preserve">Litres</t>
  </si>
  <si>
    <t xml:space="preserve">Residual Fuel Oil (No. 6) c</t>
  </si>
  <si>
    <t xml:space="preserve">Liquefied Petroleum Gas (LPG) d</t>
  </si>
  <si>
    <t xml:space="preserve">Coal (Bituminous) e</t>
  </si>
  <si>
    <t xml:space="preserve">Short Tons</t>
  </si>
  <si>
    <t xml:space="preserve">Wood / Biomass f</t>
  </si>
  <si>
    <t xml:space="preserve">Other Fuel (specify in notes)</t>
  </si>
  <si>
    <t xml:space="preserve">Specify unit</t>
  </si>
  <si>
    <t xml:space="preserve">SUBTOTAL — Stationary Combustion</t>
  </si>
  <si>
    <t xml:space="preserve">PART B — MOBILE COMBUSTION (Company Fleet, Owned/Leased Vehicles)</t>
  </si>
  <si>
    <t xml:space="preserve">Fuel Source g</t>
  </si>
  <si>
    <t xml:space="preserve">CH₄ EF 
(gCH₄/unit)</t>
  </si>
  <si>
    <t xml:space="preserve">Gasoline / Petrol (Passenger Cars)</t>
  </si>
  <si>
    <t xml:space="preserve">Gasoline / Petrol (Heavy-Duty Trucks)</t>
  </si>
  <si>
    <t xml:space="preserve">Diesel (Passenger Cars)</t>
  </si>
  <si>
    <t xml:space="preserve">Diesel (Heavy-Duty Trucks)</t>
  </si>
  <si>
    <t xml:space="preserve">Aviation Fuel (Jet-A)</t>
  </si>
  <si>
    <t xml:space="preserve">Other / Specify</t>
  </si>
  <si>
    <t xml:space="preserve">SUBTOTAL — Mobile Combustion</t>
  </si>
  <si>
    <t xml:space="preserve">PART C — FUGITIVE EMISSIONS (Refrigerants, Methane Leaks, SF₆)</t>
  </si>
  <si>
    <t xml:space="preserve">Refrigerant / Gas Type</t>
  </si>
  <si>
    <t xml:space="preserve">Quantity
Leaked</t>
  </si>
  <si>
    <t xml:space="preserve">GWP
Factor h</t>
  </si>
  <si>
    <t xml:space="preserve">HFC-134a (Air Conditioning)</t>
  </si>
  <si>
    <t xml:space="preserve">kg</t>
  </si>
  <si>
    <t xml:space="preserve">HFC-410A (Air Conditioning)</t>
  </si>
  <si>
    <t xml:space="preserve">SF₆ (Electrical Switchgear)</t>
  </si>
  <si>
    <t xml:space="preserve">CH₄ — Natural Gas Leaks (pipeline)</t>
  </si>
  <si>
    <t xml:space="preserve">CO₂ — Fire Suppression Systems</t>
  </si>
  <si>
    <t xml:space="preserve">Other refrigerant (specify)</t>
  </si>
  <si>
    <t xml:space="preserve">SUBTOTAL — Fugitive Emissions</t>
  </si>
  <si>
    <t xml:space="preserve">✦  SCOPE 1 TOTAL (tCO₂e)  ✦</t>
  </si>
  <si>
    <t xml:space="preserve">epa.gov/system/files/documents/2024-02/ghg-emission-factors-hub-2024.pdf</t>
  </si>
  <si>
    <t xml:space="preserve">Change cell for sum of all</t>
  </si>
  <si>
    <t xml:space="preserve">a EPA publishes factors per MMBtu, not per m³. These values are consistent with standard conversions from 1 m³ ≈ 0.0366 MMBtu.
</t>
  </si>
  <si>
    <t xml:space="preserve">b  CO₂: 73.96 kg/MMBtu ; CH₄: 3.0 g/MMBtu ;  N₂O: 0.60 g/MMBtu --&gt; Converted to liters (≈0.138 MMBtu/gal → 0.0365 MMBtu/L)</t>
  </si>
  <si>
    <t xml:space="preserve">c CO₂: 75.36 kg/MMBtu --&gt; converted to liters 
</t>
  </si>
  <si>
    <t xml:space="preserve">d CO₂: 61.46 kg/MMBtu --&gt; Converted to liters</t>
  </si>
  <si>
    <t xml:space="preserve">e CH₄: 11g/MMBtu x 24.93 MMBtu/short  ton =274 g/short  ton  
N₂O: 1.6 g/MMBtu x 24.93=40 g / short ton</t>
  </si>
  <si>
    <t xml:space="preserve">f EPA lists it as:  CO₂: 1.64 metric tons CO₂ per short ton of wood → which is 1,640 kg CO₂/short ton</t>
  </si>
  <si>
    <t xml:space="preserve">g CO₂ factors- Taken from EPA fuel CO₂ factors (per gallon) and converted to kg/L: Gasoline ≈ 2.35 kg/L ;  Diesel ≈ 2.69 kg/L  ;   Jet fuel ≈ 2.54 kg/L  ;  CNG: 56.1 kg CO₂/GJ is the standard natural gas combustion factor.</t>
  </si>
  <si>
    <t xml:space="preserve">h IPCC generation (AR4 style)</t>
  </si>
  <si>
    <t xml:space="preserve">SCOPE 2 — PURCHASED ENERGY  |  Dual Reporting: Market-Based AND Location-Based (GHG Protocol Required)</t>
  </si>
  <si>
    <t xml:space="preserve">GHG Protocol requires BOTH methods. Market-based reflects supplier contracts &amp; RECs. Location-based uses grid averages.</t>
  </si>
  <si>
    <t xml:space="preserve">PART A — PURCHASED ELECTRICITY</t>
  </si>
  <si>
    <t xml:space="preserve">REFERENCE — Grid Emission Factors (kgCO₂e/MWh) | Source: IEA CO₂ Emissions from Fuel Combustion 2023 | CarbonFootprint.com (2025) Update annually</t>
  </si>
  <si>
    <t xml:space="preserve">Country/Region</t>
  </si>
  <si>
    <t xml:space="preserve">Grid EF (kgCO₂e/MWh)</t>
  </si>
  <si>
    <t xml:space="preserve">US Average</t>
  </si>
  <si>
    <t xml:space="preserve">US — California</t>
  </si>
  <si>
    <t xml:space="preserve">US — Texas (ERCOT)</t>
  </si>
  <si>
    <t xml:space="preserve">European Union Avg</t>
  </si>
  <si>
    <t xml:space="preserve">Canada</t>
  </si>
  <si>
    <t xml:space="preserve">ELECTRICITY CONSUMPTION DATA</t>
  </si>
  <si>
    <t xml:space="preserve">Facility / Region</t>
  </si>
  <si>
    <t xml:space="preserve">Electricity
Consumed (MWh)</t>
  </si>
  <si>
    <t xml:space="preserve">Location-Based
EF (kgCO₂/MWh)</t>
  </si>
  <si>
    <t xml:space="preserve">Market-Based
EF (kgCO₂/MWh)</t>
  </si>
  <si>
    <t xml:space="preserve">RECs / PPAs
(MWh covered) *</t>
  </si>
  <si>
    <t xml:space="preserve">Net Market-
Based MWh</t>
  </si>
  <si>
    <t xml:space="preserve">Location-Based
(tCO₂e)</t>
  </si>
  <si>
    <t xml:space="preserve">Market-Based
(tCO₂e)</t>
  </si>
  <si>
    <t xml:space="preserve">Headquarters &amp; Regional Offices (6 sites)</t>
  </si>
  <si>
    <t xml:space="preserve">[Notes on EF source, REC details]</t>
  </si>
  <si>
    <t xml:space="preserve">Large Distribution Centers — East (12 DCs)</t>
  </si>
  <si>
    <t xml:space="preserve">Large Distribution Centers — Central/West (14 DCs)</t>
  </si>
  <si>
    <t xml:space="preserve">Truck Terminals &amp; Cross-dock Facilities (10 sites)</t>
  </si>
  <si>
    <t xml:space="preserve">Last-Mile Sortation Centers (aggregate)</t>
  </si>
  <si>
    <t xml:space="preserve">IT Infrastructure &amp; Network Operations</t>
  </si>
  <si>
    <t xml:space="preserve">Other / Miscellaneous (workshops, fuel stations)</t>
  </si>
  <si>
    <t xml:space="preserve">SUBTOTAL — Electricity</t>
  </si>
  <si>
    <t xml:space="preserve">PART B — OTHER PURCHASED ENERGY (Steam, Heat, Cooling)</t>
  </si>
  <si>
    <t xml:space="preserve">Energy Type</t>
  </si>
  <si>
    <t xml:space="preserve">Quantity
Consumed</t>
  </si>
  <si>
    <t xml:space="preserve">Emission Factor
(kgCO₂e/unit)</t>
  </si>
  <si>
    <t xml:space="preserve">Purchased Steam</t>
  </si>
  <si>
    <t xml:space="preserve">[Source of emission factor]</t>
  </si>
  <si>
    <t xml:space="preserve">Purchased Heat (District Heating)</t>
  </si>
  <si>
    <t xml:space="preserve">Purchased Cooling (District Cooling)</t>
  </si>
  <si>
    <t xml:space="preserve">SUBTOTAL — Other Energy</t>
  </si>
  <si>
    <t xml:space="preserve">✦  SCOPE 2 TOTAL — LOCATION-BASED (tCO₂e)  ✦</t>
  </si>
  <si>
    <t xml:space="preserve">✦  SCOPE 2 TOTAL — MARKET-BASED (tCO₂e)  [USE THIS FOR REPORTING]  ✦</t>
  </si>
  <si>
    <t xml:space="preserve">*(Renewable Energy Certificates) ; PPAs (Power Purchase Agreements) ; GOs (Guarantees of Origin, in Europe) ;  I‑RECs (International RECs, global markets)</t>
  </si>
  <si>
    <t xml:space="preserve">SCOPE 3 — VALUE CHAIN EMISSIONS  |  Cover at least 3 of the 15 categories most material to your industry</t>
  </si>
  <si>
    <t xml:space="preserve">Scope 3 typically represents 70–90% of total footprint. Use spend-based method where activity data is unavailable.</t>
  </si>
  <si>
    <t xml:space="preserve">SCOPE 3 CATEGORY OVERVIEW — Mark which categories are material for your company (✓ = Include, N/A = Not applicable)</t>
  </si>
  <si>
    <t xml:space="preserve">Cat #</t>
  </si>
  <si>
    <t xml:space="preserve">Category Name</t>
  </si>
  <si>
    <t xml:space="preserve">Stream</t>
  </si>
  <si>
    <t xml:space="preserve">Typical Method</t>
  </si>
  <si>
    <t xml:space="preserve">Material for your industry?</t>
  </si>
  <si>
    <t xml:space="preserve">Estimated % of S3 (Reasonable Industry averages)</t>
  </si>
  <si>
    <t xml:space="preserve">Notes:  It is NOT an official GHG Protocol requirement</t>
  </si>
  <si>
    <t xml:space="preserve">1</t>
  </si>
  <si>
    <t xml:space="preserve">Purchased Goods &amp; Services</t>
  </si>
  <si>
    <t xml:space="preserve">Upstream</t>
  </si>
  <si>
    <t xml:space="preserve">Spend-based or supplier-specific</t>
  </si>
  <si>
    <t xml:space="preserve">High for manufacturing/retail</t>
  </si>
  <si>
    <t xml:space="preserve">~40%</t>
  </si>
  <si>
    <t xml:space="preserve">Often true, for manufacturing, retail, food, apparel, pharma — this is usually the largest Scope 3 category.</t>
  </si>
  <si>
    <t xml:space="preserve">2</t>
  </si>
  <si>
    <t xml:space="preserve">Capital Goods</t>
  </si>
  <si>
    <t xml:space="preserve">Spend-based</t>
  </si>
  <si>
    <t xml:space="preserve">High for capital-intensive industries</t>
  </si>
  <si>
    <t xml:space="preserve">~5%</t>
  </si>
  <si>
    <t xml:space="preserve">Reasonable. Higher for construction, tech hardware, automotive; lower for services.</t>
  </si>
  <si>
    <t xml:space="preserve">3</t>
  </si>
  <si>
    <t xml:space="preserve">Fuel &amp; Energy-Related Activities</t>
  </si>
  <si>
    <t xml:space="preserve">Activity-based</t>
  </si>
  <si>
    <t xml:space="preserve">ALL companies</t>
  </si>
  <si>
    <t xml:space="preserve">~3%</t>
  </si>
  <si>
    <t xml:space="preserve">Typical. </t>
  </si>
  <si>
    <t xml:space="preserve">4</t>
  </si>
  <si>
    <t xml:space="preserve">Upstream Transportation &amp; Distribution</t>
  </si>
  <si>
    <t xml:space="preserve">Spend/distance-based</t>
  </si>
  <si>
    <t xml:space="preserve">Retail, manufacturing</t>
  </si>
  <si>
    <t xml:space="preserve">Reasonable. Retail, manufacturing, e‑commerce often fall in this range.</t>
  </si>
  <si>
    <t xml:space="preserve">5</t>
  </si>
  <si>
    <t xml:space="preserve">Waste Generated in Operations</t>
  </si>
  <si>
    <t xml:space="preserve">Manufacturing, food &amp; beverage</t>
  </si>
  <si>
    <t xml:space="preserve">~1%</t>
  </si>
  <si>
    <t xml:space="preserve">Typical. Only large for food, agriculture, chemicals.</t>
  </si>
  <si>
    <t xml:space="preserve">6</t>
  </si>
  <si>
    <t xml:space="preserve">Business Travel</t>
  </si>
  <si>
    <t xml:space="preserve">Activity-based (km × EF)</t>
  </si>
  <si>
    <t xml:space="preserve">Services, consulting, financial</t>
  </si>
  <si>
    <t xml:space="preserve">Typical. Higher for consulting, finance, tech</t>
  </si>
  <si>
    <t xml:space="preserve">7</t>
  </si>
  <si>
    <t xml:space="preserve">Employee Commuting</t>
  </si>
  <si>
    <t xml:space="preserve">Survey-based</t>
  </si>
  <si>
    <t xml:space="preserve">Office-heavy companies</t>
  </si>
  <si>
    <t xml:space="preserve">Typical.  Office-heavy companies</t>
  </si>
  <si>
    <t xml:space="preserve">8</t>
  </si>
  <si>
    <t xml:space="preserve">Upstream Leased Assets</t>
  </si>
  <si>
    <t xml:space="preserve">Asset-specific</t>
  </si>
  <si>
    <t xml:space="preserve">Companies with leased fleet/space</t>
  </si>
  <si>
    <t xml:space="preserve">~2%</t>
  </si>
  <si>
    <t xml:space="preserve">Depends. Only relevant if you lease equipment or space.</t>
  </si>
  <si>
    <t xml:space="preserve">9</t>
  </si>
  <si>
    <t xml:space="preserve">Downstream Transportation</t>
  </si>
  <si>
    <t xml:space="preserve">Downstream</t>
  </si>
  <si>
    <t xml:space="preserve">Consumer goods, e-commerce</t>
  </si>
  <si>
    <t xml:space="preserve">Typical. Big for consumer goods and e‑commerce.</t>
  </si>
  <si>
    <t xml:space="preserve">10</t>
  </si>
  <si>
    <t xml:space="preserve">Processing of Sold Products</t>
  </si>
  <si>
    <t xml:space="preserve">Industry-specific</t>
  </si>
  <si>
    <t xml:space="preserve">Chemicals, materials suppliers</t>
  </si>
  <si>
    <t xml:space="preserve"> Industry-specific. Chemicals, materials, components.</t>
  </si>
  <si>
    <t xml:space="preserve">11</t>
  </si>
  <si>
    <t xml:space="preserve">Use of Sold Products</t>
  </si>
  <si>
    <t xml:space="preserve">Activity-based (product use)</t>
  </si>
  <si>
    <t xml:space="preserve">High for electronics, vehicles, appliances</t>
  </si>
  <si>
    <t xml:space="preserve">~25%</t>
  </si>
  <si>
    <t xml:space="preserve">Very common. Electronics, appliances, vehicles — often the largest category.</t>
  </si>
  <si>
    <t xml:space="preserve">12</t>
  </si>
  <si>
    <t xml:space="preserve">End-of-Life Treatment</t>
  </si>
  <si>
    <t xml:space="preserve">Waste model</t>
  </si>
  <si>
    <t xml:space="preserve">Consumer goods, packaging</t>
  </si>
  <si>
    <t xml:space="preserve">Typical. Packaging-heavy industries see higher values.</t>
  </si>
  <si>
    <t xml:space="preserve">13</t>
  </si>
  <si>
    <t xml:space="preserve">Downstream Leased Assets</t>
  </si>
  <si>
    <t xml:space="preserve">Property companies, lessors</t>
  </si>
  <si>
    <t xml:space="preserve">Typical. Only relevant for property/real estate.</t>
  </si>
  <si>
    <t xml:space="preserve">14</t>
  </si>
  <si>
    <t xml:space="preserve">Franchises</t>
  </si>
  <si>
    <t xml:space="preserve">Franchise businesses</t>
  </si>
  <si>
    <t xml:space="preserve">Typical. Only for franchise-heavy businesses.</t>
  </si>
  <si>
    <t xml:space="preserve">15</t>
  </si>
  <si>
    <t xml:space="preserve">Investments</t>
  </si>
  <si>
    <t xml:space="preserve">PCAF / portfolio-based</t>
  </si>
  <si>
    <t xml:space="preserve">Financial institutions, banks</t>
  </si>
  <si>
    <t xml:space="preserve">~30%</t>
  </si>
  <si>
    <t xml:space="preserve">True for finance. Banks, PE, VC — this is usually the dominant category.</t>
  </si>
  <si>
    <t xml:space="preserve">CATEGORY 1 — PURCHASED GOODS &amp; SERVICES (Spend-Based Method)</t>
  </si>
  <si>
    <t xml:space="preserve">Supplier / Spend Category</t>
  </si>
  <si>
    <t xml:space="preserve">Annual Spend
(USD)</t>
  </si>
  <si>
    <t xml:space="preserve">EEIO Factor
(kgCO₂e per $)a</t>
  </si>
  <si>
    <t xml:space="preserve">Typical USEEIP Range b</t>
  </si>
  <si>
    <t xml:space="preserve">EEIO Source</t>
  </si>
  <si>
    <t xml:space="preserve">Spend in
$000s</t>
  </si>
  <si>
    <t xml:space="preserve">tCO₂e</t>
  </si>
  <si>
    <t xml:space="preserve">Data
Confidence</t>
  </si>
  <si>
    <t xml:space="preserve">Raw Materials / Commodities</t>
  </si>
  <si>
    <t xml:space="preserve">0.2 - 1.20</t>
  </si>
  <si>
    <t xml:space="preserve">US EPA USEEIO v2.0</t>
  </si>
  <si>
    <t xml:space="preserve">Plastics material &amp; resin manufacturing; Steel mills; Paper mills</t>
  </si>
  <si>
    <t xml:space="preserve">Medium</t>
  </si>
  <si>
    <t xml:space="preserve">[Enter data source / assumption]</t>
  </si>
  <si>
    <t xml:space="preserve">Manufactured Components / Parts</t>
  </si>
  <si>
    <t xml:space="preserve">0.4 - 1.50</t>
  </si>
  <si>
    <t xml:space="preserve">Semiconductor manufacturing; Electronic component manufacturing; Fabricated metal products</t>
  </si>
  <si>
    <t xml:space="preserve">Packaging Materials</t>
  </si>
  <si>
    <t xml:space="preserve">0.5 -1.00</t>
  </si>
  <si>
    <t xml:space="preserve">Paperboard container manufacturing; Plastics packaging manufacturing</t>
  </si>
  <si>
    <t xml:space="preserve">Information Technology / Hardware</t>
  </si>
  <si>
    <t xml:space="preserve">0.7 - 1.40</t>
  </si>
  <si>
    <t xml:space="preserve">Computer manufacturing; Electronic equipment manufacturing</t>
  </si>
  <si>
    <t xml:space="preserve">Professional / Business Services</t>
  </si>
  <si>
    <t xml:space="preserve">0.05 - 0.20</t>
  </si>
  <si>
    <t xml:space="preserve">Management consulting services; Legal services; Accounting services</t>
  </si>
  <si>
    <t xml:space="preserve">Food &amp; Beverage (for operations)</t>
  </si>
  <si>
    <t xml:space="preserve">0.8 -1.60</t>
  </si>
  <si>
    <t xml:space="preserve">Food manufacturing; Beverage manufacturing</t>
  </si>
  <si>
    <t xml:space="preserve">Construction / Building Materials</t>
  </si>
  <si>
    <t xml:space="preserve">0.3 - 0 70</t>
  </si>
  <si>
    <t xml:space="preserve">Cement manufacturing; Ready‑mix concrete; Construction services</t>
  </si>
  <si>
    <t xml:space="preserve">Other goods/services (specify)</t>
  </si>
  <si>
    <t xml:space="preserve">varies</t>
  </si>
  <si>
    <t xml:space="preserve">SUBTOTAL — Category 1</t>
  </si>
  <si>
    <t xml:space="preserve">a EEIO = Environmentally Extended Input–Output. How many kg of CO₂e are emitted per dollar spent on a product or service.</t>
  </si>
  <si>
    <t xml:space="preserve">b Typical range of emission intensities (kgCO₂e per dollar spent) found across sectors in the USEEIO model — the U.S. Environmentally Extended Input–Output model published by the EPA.</t>
  </si>
  <si>
    <t xml:space="preserve">CATEGORY 3 — FUEL &amp; ENERGY RELATED ACTIVITIES (Upstream Emissions from Purchased Energy)</t>
  </si>
  <si>
    <t xml:space="preserve">Activity</t>
  </si>
  <si>
    <t xml:space="preserve">Scope 2
Electricity (MWh)</t>
  </si>
  <si>
    <t xml:space="preserve">T&amp;D Loss Factor c
(% of consumption)</t>
  </si>
  <si>
    <t xml:space="preserve">Well-to-Tank EF d
(kgCO₂e/MWh) DEFRA</t>
  </si>
  <si>
    <t xml:space="preserve">Step 1 — Calculate T&amp;D loss electricity</t>
  </si>
  <si>
    <t xml:space="preserve">Step 2 — Multiply by the DEFRA upstream electricity factor</t>
  </si>
  <si>
    <t xml:space="preserve">Step 3 — Convert to tonnes</t>
  </si>
  <si>
    <t xml:space="preserve">Emission Factor (EPA e grid) for subregion 
e.g. Chicago</t>
  </si>
  <si>
    <t xml:space="preserve">(tCO₂e for Category 3)
tCO2e</t>
  </si>
  <si>
    <t xml:space="preserve">Confidence</t>
  </si>
  <si>
    <t xml:space="preserve">T&amp;D Losses — Purchased Electricity</t>
  </si>
  <si>
    <t xml:space="preserve">[Enter source]</t>
  </si>
  <si>
    <t xml:space="preserve">Well-to-Tank — Natural Gas (for Scope 1)</t>
  </si>
  <si>
    <t xml:space="preserve">Well-to-Tank — Diesel Fuel (for Scope 1)</t>
  </si>
  <si>
    <t xml:space="preserve">Well-to-Tank — Gasoline (for Scope 1)</t>
  </si>
  <si>
    <t xml:space="preserve">SUBTOTAL — Category 3</t>
  </si>
  <si>
    <t xml:space="preserve">* it was provided</t>
  </si>
  <si>
    <t xml:space="preserve">UK DEFRA/BEIS. EPA does not publish Well‑to‑Tank (WTT) emission factors for electricity or fuels.</t>
  </si>
  <si>
    <t xml:space="preserve">c T&amp;D = Transmission &amp; Distribution. </t>
  </si>
  <si>
    <t xml:space="preserve">d Upstream emissions from producing, processing, and delivering the fuel before it is used.</t>
  </si>
  <si>
    <t xml:space="preserve">CATEGORY 6 — BUSINESS TRAVEL (Activity-Based: Distance × Emission Factor)</t>
  </si>
  <si>
    <t xml:space="preserve">Travel Mode</t>
  </si>
  <si>
    <t xml:space="preserve">Distance
Travelled</t>
  </si>
  <si>
    <t xml:space="preserve">Class
(Economy/Bus)</t>
  </si>
  <si>
    <t xml:space="preserve">EF
(kgCO₂e/km or mile)</t>
  </si>
  <si>
    <t xml:space="preserve">EF Source</t>
  </si>
  <si>
    <t xml:space="preserve">Air Travel — Short Haul (&lt;3hrs) Economy</t>
  </si>
  <si>
    <t xml:space="preserve">km</t>
  </si>
  <si>
    <t xml:space="preserve">Economy</t>
  </si>
  <si>
    <t xml:space="preserve">[Enter data source]</t>
  </si>
  <si>
    <t xml:space="preserve">Air Travel — Long Haul (&gt;3hrs) Economy</t>
  </si>
  <si>
    <t xml:space="preserve">Air Travel — Long Haul Business Class</t>
  </si>
  <si>
    <t xml:space="preserve">Business</t>
  </si>
  <si>
    <t xml:space="preserve">Rail Travel</t>
  </si>
  <si>
    <t xml:space="preserve">National rail passenger</t>
  </si>
  <si>
    <t xml:space="preserve">Hotel Stays</t>
  </si>
  <si>
    <t xml:space="preserve">nights</t>
  </si>
  <si>
    <t xml:space="preserve">Hotel stay per night</t>
  </si>
  <si>
    <t xml:space="preserve">Rental Car</t>
  </si>
  <si>
    <t xml:space="preserve">Rental car (Generic)</t>
  </si>
  <si>
    <t xml:space="preserve">SUBTOTAL — Category 6</t>
  </si>
  <si>
    <t xml:space="preserve">ADDITIONAL CATEGORIES — Enter other material Scope 3 categories for your industry</t>
  </si>
  <si>
    <t xml:space="preserve">Category Name &amp; Number</t>
  </si>
  <si>
    <t xml:space="preserve">Description</t>
  </si>
  <si>
    <t xml:space="preserve">Method Used</t>
  </si>
  <si>
    <t xml:space="preserve">Quantity</t>
  </si>
  <si>
    <t xml:space="preserve">EF / Factor</t>
  </si>
  <si>
    <t xml:space="preserve">Scope 3 – Cat. 2: Capital Goods</t>
  </si>
  <si>
    <t xml:space="preserve">[Enter data]</t>
  </si>
  <si>
    <t xml:space="preserve">Scope 3 – Cat. 3: Fuel &amp; Energy-Related</t>
  </si>
  <si>
    <t xml:space="preserve">High</t>
  </si>
  <si>
    <t xml:space="preserve">Scope 3 – Cat. 4: Upstream Transport &amp; Distribution</t>
  </si>
  <si>
    <t xml:space="preserve">Scope 3 – Cat. 5: Waste in Operations</t>
  </si>
  <si>
    <t xml:space="preserve">Scope 3 – Cat. 7: Employee Commuting</t>
  </si>
  <si>
    <t xml:space="preserve">Scope 3 – Cat. 9: Downstream Transport &amp; Distribution</t>
  </si>
  <si>
    <t xml:space="preserve">Scope 3 – Cat. 11: Use of Sold Products</t>
  </si>
  <si>
    <t xml:space="preserve">Scope 3 – Cat. 12: End-of-Life Treatment</t>
  </si>
  <si>
    <t xml:space="preserve">Scope 3 – Cat. 13: Downstream Leased Assets</t>
  </si>
  <si>
    <t xml:space="preserve">SUBTOTAL — Additional Categories</t>
  </si>
  <si>
    <t xml:space="preserve">✦  SCOPE 3 TOTAL (tCO₂e)  ✦</t>
  </si>
  <si>
    <t xml:space="preserve">CARBON FOOTPRINT SUMMARY &amp; INTENSITY RATIOS</t>
  </si>
  <si>
    <t xml:space="preserve">All values pull automatically from Scope 1, 2, and 3 sheets. Review after completing data entry.</t>
  </si>
  <si>
    <t xml:space="preserve">SECTION 1 — SCOPE TOTALS (tCO₂e)</t>
  </si>
  <si>
    <t xml:space="preserve">Scope</t>
  </si>
  <si>
    <t xml:space="preserve">% of Total (S1+S2+S3)</t>
  </si>
  <si>
    <t xml:space="preserve">% of Total (S1+S2 only)</t>
  </si>
  <si>
    <t xml:space="preserve">Compared to Prior Year</t>
  </si>
  <si>
    <t xml:space="preserve">Target</t>
  </si>
  <si>
    <t xml:space="preserve">Scope 1</t>
  </si>
  <si>
    <t xml:space="preserve">Direct Emissions (combustion, fleet, fugitive)</t>
  </si>
  <si>
    <t xml:space="preserve">[Source / methodology note]</t>
  </si>
  <si>
    <t xml:space="preserve">Scope 2 (Market-Based)</t>
  </si>
  <si>
    <t xml:space="preserve">Purchased Energy — Market-Based [PRIMARY]</t>
  </si>
  <si>
    <t xml:space="preserve">Scope 2 (Location-Based)</t>
  </si>
  <si>
    <t xml:space="preserve">Purchased Energy — Location-Based [SECONDARY]</t>
  </si>
  <si>
    <t xml:space="preserve">[Supplemental — not in totals]</t>
  </si>
  <si>
    <t xml:space="preserve">[Enter reduction target tCO₂e]</t>
  </si>
  <si>
    <t xml:space="preserve">Scope 3</t>
  </si>
  <si>
    <t xml:space="preserve">Value Chain Emissions (all categories)</t>
  </si>
  <si>
    <t xml:space="preserve">TOTAL — Scope 1 + Scope 2 (MB) + Scope 3</t>
  </si>
  <si>
    <t xml:space="preserve">TOTAL — Scope 1 + Scope 2 (MB) only</t>
  </si>
  <si>
    <t xml:space="preserve">SECTION 2 — CARBON INTENSITY RATIOS (how much carbon it emits relative to a meaningful business metric. It is a mandatory component of </t>
  </si>
  <si>
    <t xml:space="preserve">Intensity Metric</t>
  </si>
  <si>
    <t xml:space="preserve">Formula</t>
  </si>
  <si>
    <t xml:space="preserve">Current Year
(tCO₂e / unit)</t>
  </si>
  <si>
    <t xml:space="preserve">Prior Year
(tCO₂e / unit)</t>
  </si>
  <si>
    <t xml:space="preserve">Change (%)</t>
  </si>
  <si>
    <t xml:space="preserve">Industry
Benchmark</t>
  </si>
  <si>
    <t xml:space="preserve">vs. Benchmark</t>
  </si>
  <si>
    <t xml:space="preserve">Carbon Intensity — Revenue</t>
  </si>
  <si>
    <t xml:space="preserve">tCO₂e per $M revenue</t>
  </si>
  <si>
    <t xml:space="preserve">[Industry benchmark]</t>
  </si>
  <si>
    <t xml:space="preserve">tCO₂e / $M revenue</t>
  </si>
  <si>
    <t xml:space="preserve">Carbon Intensity — Employee</t>
  </si>
  <si>
    <t xml:space="preserve">tCO₂e per FTE employee</t>
  </si>
  <si>
    <t xml:space="preserve">tCO₂e / employee</t>
  </si>
  <si>
    <t xml:space="preserve">Carbon Intensity — Production</t>
  </si>
  <si>
    <t xml:space="preserve">tCO₂e per unit of output (N/A)</t>
  </si>
  <si>
    <t xml:space="preserve">tCO₂e / unit</t>
  </si>
  <si>
    <t xml:space="preserve">Scope 1 Intensity — Revenue</t>
  </si>
  <si>
    <t xml:space="preserve">Scope 1 tCO₂e per $M revenue</t>
  </si>
  <si>
    <t xml:space="preserve">Scope 2 MB Intensity — Revenue</t>
  </si>
  <si>
    <t xml:space="preserve">Scope 2 tCO₂e per $M revenue</t>
  </si>
  <si>
    <t xml:space="preserve">Scope 3 Intensity — Revenue</t>
  </si>
  <si>
    <t xml:space="preserve">Scope 3 tCO₂e per $M revenue</t>
  </si>
  <si>
    <t xml:space="preserve">% Renewable Energy</t>
  </si>
  <si>
    <t xml:space="preserve">RECs as % of total electricity</t>
  </si>
  <si>
    <t xml:space="preserve">%</t>
  </si>
  <si>
    <t xml:space="preserve">SECTION 3 — SCOPE BREAKDOWN (% of Total S1+S2+S3)</t>
  </si>
  <si>
    <t xml:space="preserve">% Share</t>
  </si>
  <si>
    <t xml:space="preserve">GHG Protocol Guidance</t>
  </si>
  <si>
    <t xml:space="preserve">Best Practice Target</t>
  </si>
  <si>
    <t xml:space="preserve">Reduce through fuel switching &amp; efficiency</t>
  </si>
  <si>
    <t xml:space="preserve">Reduce through RECs, PPAs, on-site renewables</t>
  </si>
  <si>
    <t xml:space="preserve">Reduce through supply chain engagement &amp; product design</t>
  </si>
  <si>
    <t xml:space="preserve">TOTAL</t>
  </si>
  <si>
    <t xml:space="preserve">100%</t>
  </si>
  <si>
    <t xml:space="preserve">EMISSIONS TREND ANALYSIS — 3-Year Historical Data &amp; Chart</t>
  </si>
  <si>
    <t xml:space="preserve">Enter prior years manually. Current year pulls from Scope sheets automatically. Chart updates automatically.</t>
  </si>
  <si>
    <t xml:space="preserve">ABSOLUTE EMISSIONS TREND (tCO₂e) — Enter prior years | Current year auto-calculates</t>
  </si>
  <si>
    <t xml:space="preserve">Metric</t>
  </si>
  <si>
    <t xml:space="preserve">Year -2 (oldest)</t>
  </si>
  <si>
    <t xml:space="preserve">Year -1</t>
  </si>
  <si>
    <t xml:space="preserve">Current Year
(auto)</t>
  </si>
  <si>
    <t xml:space="preserve">YoY Change
(yr-2 to yr-1)</t>
  </si>
  <si>
    <t xml:space="preserve">YoY Change
(yr-1 to curr)</t>
  </si>
  <si>
    <t xml:space="preserve">3-Year
Cumulative Change</t>
  </si>
  <si>
    <t xml:space="preserve">Notes / Targets</t>
  </si>
  <si>
    <t xml:space="preserve">Reporting Year</t>
  </si>
  <si>
    <t xml:space="preserve">Scope 1 Total (tCO₂e)</t>
  </si>
  <si>
    <t xml:space="preserve">[Target or benchmark]</t>
  </si>
  <si>
    <t xml:space="preserve">Scope 2 Location-Based (tCO₂e)</t>
  </si>
  <si>
    <t xml:space="preserve">Scope 2 Market-Based (tCO₂e)</t>
  </si>
  <si>
    <t xml:space="preserve">Scope 3 Total (tCO₂e)</t>
  </si>
  <si>
    <t xml:space="preserve">TOTAL (S1+S2MB+S3) (tCO₂e)</t>
  </si>
  <si>
    <t xml:space="preserve">Carbon Intensity — Revenue (tCO₂e/$M)</t>
  </si>
  <si>
    <t xml:space="preserve">Carbon Intensity — Employee (tCO₂e/FTE)</t>
  </si>
  <si>
    <t xml:space="preserve">Renewable Energy % of Electricity</t>
  </si>
  <si>
    <t xml:space="preserve">REDUCTION TARGETS — Enter company-stated targets for chart overlay</t>
  </si>
  <si>
    <t xml:space="preserve">Target Year</t>
  </si>
  <si>
    <t xml:space="preserve">Baseline Year</t>
  </si>
  <si>
    <t xml:space="preserve">Baseline Value (tCO₂e)</t>
  </si>
  <si>
    <t xml:space="preserve">% Reduction Required</t>
  </si>
  <si>
    <t xml:space="preserve">Target Value (tCO₂e)</t>
  </si>
  <si>
    <t xml:space="preserve">Annual reductions</t>
  </si>
  <si>
    <t xml:space="preserve">Target Type</t>
  </si>
  <si>
    <t xml:space="preserve">Net Zero Commitment</t>
  </si>
  <si>
    <t xml:space="preserve">Science-Based Target (SBTi)</t>
  </si>
  <si>
    <t xml:space="preserve">Nexura Sustainability Report 2024</t>
  </si>
  <si>
    <t xml:space="preserve">Near-Term Scope 1+2 Target</t>
  </si>
  <si>
    <t xml:space="preserve">SBTi 1.5°C aligned</t>
  </si>
  <si>
    <t xml:space="preserve">SBTi Commitment Letter 2023</t>
  </si>
  <si>
    <t xml:space="preserve">Scope 3 Fleet Electrification Target</t>
  </si>
  <si>
    <t xml:space="preserve">SBTi value chain</t>
  </si>
  <si>
    <t xml:space="preserve">Emission Trajectory Chart</t>
  </si>
  <si>
    <t xml:space="preserve">Enter your data in the yellow input cells below  ·  The chart updates automatically  ·  GHG Protocol Framework</t>
  </si>
  <si>
    <t xml:space="preserve">  📥  INPUT TABLE  —  Type your values in the  YELLOW  cells  (tCO₂e or MtCO₂e — be consistent)</t>
  </si>
  <si>
    <t xml:space="preserve">🟡 Yellow = enter your data</t>
  </si>
  <si>
    <t xml:space="preserve">🔵 Blue = auto-calculated formula</t>
  </si>
  <si>
    <t xml:space="preserve">Growth assumed</t>
  </si>
  <si>
    <t xml:space="preserve">CAGR</t>
  </si>
  <si>
    <t xml:space="preserve">Report based info previous year</t>
  </si>
  <si>
    <t xml:space="preserve">Category / Year →</t>
  </si>
  <si>
    <t xml:space="preserve">Business as usual</t>
  </si>
  <si>
    <t xml:space="preserve">  📊  SCOPE BREAKDOWN INPUT  —  Decompose your Residual Emissions by Scope  (mtCO2e)  Prediction with CAGR: =(FY2024/FY2020)^(1/4)-1  →  then each year = previous_year × (1+CAGR)</t>
  </si>
  <si>
    <t xml:space="preserve">Scope / Year →</t>
  </si>
  <si>
    <t xml:space="preserve">🌿  Scope 1 — Direct Emissions</t>
  </si>
  <si>
    <t xml:space="preserve">⚡  Scope 2 — Purchased Energy (location based)</t>
  </si>
  <si>
    <t xml:space="preserve">⚡  Scope 2 — Purchased Energy (market based)</t>
  </si>
  <si>
    <t xml:space="preserve">Subtotal (Scope 1 + 2 Market-based)</t>
  </si>
  <si>
    <t xml:space="preserve">🔗  Scope 3 — Value Chain</t>
  </si>
  <si>
    <t xml:space="preserve">📊  TOTAL  (S1+S2+S3)</t>
  </si>
  <si>
    <t xml:space="preserve">  🏁  MILESTONES  —  Label key points on your pathway  (shown as annotations on chart)</t>
  </si>
  <si>
    <t xml:space="preserve">Label / Commitment</t>
  </si>
  <si>
    <t xml:space="preserve">Net-Zero Commitment</t>
  </si>
  <si>
    <t xml:space="preserve">Near-Term SBTi (Scope 1+2)</t>
  </si>
  <si>
    <t xml:space="preserve">Scope 3 Reduction Target</t>
  </si>
  <si>
    <t xml:space="preserve">[Enter milestone year]</t>
  </si>
  <si>
    <t xml:space="preserve">[Enter note]</t>
  </si>
  <si>
    <t xml:space="preserve">  📈  NET ZERO PATHWAY CHART  —  Auto-generated from your inputs above</t>
  </si>
  <si>
    <t xml:space="preserve">Note: Trajectory slope can change depend on company pace, new technologies and strategic actions</t>
  </si>
  <si>
    <t xml:space="preserve">  📊  SCOPE 1 / 2 / 3 BREAKDOWN CHART  — build</t>
  </si>
  <si>
    <t xml:space="preserve"> METHODOLOGY DOCUMENTATION (ASSUMPTIONS LOG)</t>
  </si>
  <si>
    <t xml:space="preserve">Document EVERY emission factor, boundary decision, and methodology choice here. This becomes your report's Methodology section.</t>
  </si>
  <si>
    <t xml:space="preserve">EMISSION FACTOR LOG — Document every factor used in your calculations</t>
  </si>
  <si>
    <t xml:space="preserve">Scope / Category</t>
  </si>
  <si>
    <t xml:space="preserve">Fuel/Energy Type</t>
  </si>
  <si>
    <t xml:space="preserve">EF Value Used</t>
  </si>
  <si>
    <t xml:space="preserve">EF Unit</t>
  </si>
  <si>
    <t xml:space="preserve">Year of EF</t>
  </si>
  <si>
    <t xml:space="preserve">Rationale / Notes</t>
  </si>
  <si>
    <t xml:space="preserve">Scope 1 — Stationary</t>
  </si>
  <si>
    <t xml:space="preserve">53.06 kgCO₂/MMBtu</t>
  </si>
  <si>
    <t xml:space="preserve">kgCO₂/MMBtu</t>
  </si>
  <si>
    <t xml:space="preserve">EPA CCCL 2023</t>
  </si>
  <si>
    <t xml:space="preserve">2023</t>
  </si>
  <si>
    <t xml:space="preserve">Used EPA Table 1 national average. Update if company uses a regional specific factor.</t>
  </si>
  <si>
    <t xml:space="preserve">Diesel Fuel</t>
  </si>
  <si>
    <t xml:space="preserve">2.698 kgCO₂/litre</t>
  </si>
  <si>
    <t xml:space="preserve">kgCO₂/litre</t>
  </si>
  <si>
    <t xml:space="preserve">Converted from gallon-based factor. Verify unit consistency with fuel bills.</t>
  </si>
  <si>
    <t xml:space="preserve">Scope 1 — Mobile</t>
  </si>
  <si>
    <t xml:space="preserve">Gasoline (fleet)</t>
  </si>
  <si>
    <t xml:space="preserve">2.312 kgCO₂/litre</t>
  </si>
  <si>
    <t xml:space="preserve">DEFRA UK government conversion factors — appropriate for global use.</t>
  </si>
  <si>
    <t xml:space="preserve">Scope 1 — Fugitive</t>
  </si>
  <si>
    <t xml:space="preserve">HFC-134a</t>
  </si>
  <si>
    <t xml:space="preserve">1526 kgCO₂e/kg</t>
  </si>
  <si>
    <t xml:space="preserve">kgCO₂e/kg</t>
  </si>
  <si>
    <t xml:space="preserve">IPCC AR6 2021</t>
  </si>
  <si>
    <t xml:space="preserve">2021</t>
  </si>
  <si>
    <t xml:space="preserve">GWP from IPCC AR6. Quantity from maintenance records or refrigerant purchase data.</t>
  </si>
  <si>
    <t xml:space="preserve">Scope 2 — Electricity</t>
  </si>
  <si>
    <t xml:space="preserve">Grid EF — [specify region]</t>
  </si>
  <si>
    <t xml:space="preserve">[Enter value] kgCO₂e/MWh</t>
  </si>
  <si>
    <t xml:space="preserve">kgCO₂e/MWh</t>
  </si>
  <si>
    <t xml:space="preserve">[Enter source — IEA/EPA/DEFRA]</t>
  </si>
  <si>
    <t xml:space="preserve">[Enter year]</t>
  </si>
  <si>
    <t xml:space="preserve">[Enter rationale for choosing this regional factor]</t>
  </si>
  <si>
    <t xml:space="preserve">Scope 2 — Market-Based</t>
  </si>
  <si>
    <t xml:space="preserve">Supplier/Residual EF</t>
  </si>
  <si>
    <t xml:space="preserve">[Explain if company holds RECs, PPAs, or uses utility supplier factor]</t>
  </si>
  <si>
    <t xml:space="preserve">Scope 3 — Cat 1</t>
  </si>
  <si>
    <t xml:space="preserve">EEIO Factor — [spend category]</t>
  </si>
  <si>
    <t xml:space="preserve">[Enter value] kgCO₂e/$</t>
  </si>
  <si>
    <t xml:space="preserve">kgCO₂e/USD</t>
  </si>
  <si>
    <t xml:space="preserve">2022</t>
  </si>
  <si>
    <t xml:space="preserve">Spend-based method used due to lack of primary supplier data. Uncertainty range ±30-50%.</t>
  </si>
  <si>
    <t xml:space="preserve">Scope 3 — Cat 3</t>
  </si>
  <si>
    <t xml:space="preserve">T&amp;D Loss Factor — Electricity</t>
  </si>
  <si>
    <t xml:space="preserve">5% loss factor</t>
  </si>
  <si>
    <t xml:space="preserve">IEA / Local utility</t>
  </si>
  <si>
    <t xml:space="preserve">Applied to total purchased electricity to estimate upstream T&amp;D emissions.</t>
  </si>
  <si>
    <t xml:space="preserve">Scope 3 — Cat 6</t>
  </si>
  <si>
    <t xml:space="preserve">Business Travel — Air EF</t>
  </si>
  <si>
    <t xml:space="preserve">0.255 kgCO₂e/km (short haul)</t>
  </si>
  <si>
    <t xml:space="preserve">kgCO₂e/km</t>
  </si>
  <si>
    <t xml:space="preserve">Economy class assumed unless company travel data specifies class breakdown.</t>
  </si>
  <si>
    <t xml:space="preserve">[Enter]</t>
  </si>
  <si>
    <t xml:space="preserve">BOUNDARY &amp; METHODOLOGY DECISIONS</t>
  </si>
  <si>
    <t xml:space="preserve">Decision Area</t>
  </si>
  <si>
    <t xml:space="preserve">Your Choice</t>
  </si>
  <si>
    <t xml:space="preserve">Organizational boundary method</t>
  </si>
  <si>
    <t xml:space="preserve">Operational Control — includes all owned and long-term leased (&gt;1yr) facilities and vehicles</t>
  </si>
  <si>
    <t xml:space="preserve">Geographic boundary</t>
  </si>
  <si>
    <t xml:space="preserve">United States (primary), Canada and Mexico (cross-border operations, minor share)</t>
  </si>
  <si>
    <t xml:space="preserve">Scope 2 accounting method primary</t>
  </si>
  <si>
    <t xml:space="preserve">Market-Based primary; Location-Based reported as supplemental per GHG Protocol</t>
  </si>
  <si>
    <t xml:space="preserve">GWP version used</t>
  </si>
  <si>
    <t xml:space="preserve">IPCC AR6 (2021)</t>
  </si>
  <si>
    <t xml:space="preserve">Scope 3 categories selected</t>
  </si>
  <si>
    <t xml:space="preserve">Categories 1, 2, 3, 4, 5, 6, 7, 9, 12, 13 — excludes Cat 10, 11, 14, 15 (not applicable)</t>
  </si>
  <si>
    <t xml:space="preserve">Estimation method for gaps</t>
  </si>
  <si>
    <t xml:space="preserve">Spend-based (USEEIO v2.0) for Cat 1; Activity-based for Cat 3, 6; Headcount-based for Cat 7</t>
  </si>
  <si>
    <t xml:space="preserve">Base year</t>
  </si>
  <si>
    <t xml:space="preserve">2024 (first year of full GHG inventory)</t>
  </si>
  <si>
    <t xml:space="preserve">Emission Factors for Greenhouse Gas Inventories</t>
  </si>
  <si>
    <t xml:space="preserve">Last Modified: January 15, 2025</t>
  </si>
  <si>
    <t xml:space="preserve">Blue text indicates an update from the 2024 version of this document.</t>
  </si>
  <si>
    <t xml:space="preserve">Typically, greenhouse gas emissions are reported in units of carbon dioxide equivalent (CO2e). Gases are converted to CO2e by multiplying by their global warming potential (GWP). In most cases, the emission factors listed in this document generally have not been converted to CO2e.  To do so, multiply the emissions by the corresponding GWP listed in the table below.  </t>
  </si>
  <si>
    <t xml:space="preserve">100-Year GWP</t>
  </si>
  <si>
    <t xml:space="preserve">CH4</t>
  </si>
  <si>
    <t xml:space="preserve">N2O</t>
  </si>
  <si>
    <t xml:space="preserve">Source: Intergovernmental Panel on Climate Change (IPCC), 
Fifth Assessment Report (AR5), 2013. 
See the source note to Table 11 for further explanation. </t>
  </si>
  <si>
    <t xml:space="preserve">Table 1</t>
  </si>
  <si>
    <t xml:space="preserve">   Stationary Combustion</t>
  </si>
  <si>
    <t xml:space="preserve">Heat Content (HHV)</t>
  </si>
  <si>
    <t xml:space="preserve">CO2 Factor</t>
  </si>
  <si>
    <t xml:space="preserve">CH4 Factor</t>
  </si>
  <si>
    <t xml:space="preserve">N2O Factor</t>
  </si>
  <si>
    <t xml:space="preserve">mmBtu per short ton</t>
  </si>
  <si>
    <t xml:space="preserve">kg CO2 per mmBtu</t>
  </si>
  <si>
    <t xml:space="preserve">g CH4 per mmBtu</t>
  </si>
  <si>
    <t xml:space="preserve">g N2O per mmBtu</t>
  </si>
  <si>
    <t xml:space="preserve">kg CO2 per short ton</t>
  </si>
  <si>
    <t xml:space="preserve">g CH4 per short ton</t>
  </si>
  <si>
    <t xml:space="preserve">g N2O per short ton</t>
  </si>
  <si>
    <t xml:space="preserve">Coal and Coke</t>
  </si>
  <si>
    <t xml:space="preserve">Anthracite</t>
  </si>
  <si>
    <t xml:space="preserve">Bituminous</t>
  </si>
  <si>
    <t xml:space="preserve">Sub-bituminous</t>
  </si>
  <si>
    <t xml:space="preserve">Lignite</t>
  </si>
  <si>
    <t xml:space="preserve">Mixed (Commercial Sector)</t>
  </si>
  <si>
    <t xml:space="preserve">Mixed (Electric Power Sector)</t>
  </si>
  <si>
    <t xml:space="preserve">Mixed (Industrial Coking)</t>
  </si>
  <si>
    <t xml:space="preserve">Mixed (Industrial Sector)</t>
  </si>
  <si>
    <t xml:space="preserve">Coal Coke</t>
  </si>
  <si>
    <t xml:space="preserve">Other Fuels - Solid</t>
  </si>
  <si>
    <t xml:space="preserve">Petroleum Coke (Solid)</t>
  </si>
  <si>
    <t xml:space="preserve">Plastics</t>
  </si>
  <si>
    <t xml:space="preserve">Tires</t>
  </si>
  <si>
    <t xml:space="preserve">Biomass Fuels - Solid</t>
  </si>
  <si>
    <t xml:space="preserve">Agricultural Byproducts</t>
  </si>
  <si>
    <t xml:space="preserve">Peat</t>
  </si>
  <si>
    <t xml:space="preserve">Solid Byproducts</t>
  </si>
  <si>
    <t xml:space="preserve">Wood and Wood Residuals</t>
  </si>
  <si>
    <t xml:space="preserve">mmBtu per scf</t>
  </si>
  <si>
    <t xml:space="preserve">kg CO2 per scf</t>
  </si>
  <si>
    <t xml:space="preserve">g CH4 per scf</t>
  </si>
  <si>
    <t xml:space="preserve">g N2O per scf</t>
  </si>
  <si>
    <t xml:space="preserve">Other Fuels - Gaseous</t>
  </si>
  <si>
    <t xml:space="preserve">Blast Furnace Gas</t>
  </si>
  <si>
    <t xml:space="preserve">Coke Oven Gas</t>
  </si>
  <si>
    <t xml:space="preserve">Fuel Gas</t>
  </si>
  <si>
    <t xml:space="preserve">Propane Gas</t>
  </si>
  <si>
    <t xml:space="preserve">Biomass Fuels - Gaseous</t>
  </si>
  <si>
    <t xml:space="preserve">Landfill Gas</t>
  </si>
  <si>
    <t xml:space="preserve">Other Biomass Gases</t>
  </si>
  <si>
    <t xml:space="preserve">mmBtu per gallon</t>
  </si>
  <si>
    <t xml:space="preserve">kg CO2 per gallon</t>
  </si>
  <si>
    <t xml:space="preserve">g CH4 per gallon</t>
  </si>
  <si>
    <t xml:space="preserve">g N2O per gallon</t>
  </si>
  <si>
    <t xml:space="preserve">Petroleum Products</t>
  </si>
  <si>
    <t xml:space="preserve">Asphalt and Road Oil</t>
  </si>
  <si>
    <t xml:space="preserve">Aviation Gasoline</t>
  </si>
  <si>
    <t xml:space="preserve">Butane</t>
  </si>
  <si>
    <t xml:space="preserve">Butylene</t>
  </si>
  <si>
    <t xml:space="preserve">Crude Oil</t>
  </si>
  <si>
    <t xml:space="preserve">Distillate Fuel Oil No. 1</t>
  </si>
  <si>
    <t xml:space="preserve">Distillate Fuel Oil No. 2</t>
  </si>
  <si>
    <t xml:space="preserve">Distillate Fuel Oil No. 4</t>
  </si>
  <si>
    <t xml:space="preserve">Ethane</t>
  </si>
  <si>
    <t xml:space="preserve">Ethylene</t>
  </si>
  <si>
    <t xml:space="preserve">Heavy Gas Oils</t>
  </si>
  <si>
    <t xml:space="preserve">Isobutane</t>
  </si>
  <si>
    <t xml:space="preserve">Isobutylene</t>
  </si>
  <si>
    <t xml:space="preserve">Kerosene</t>
  </si>
  <si>
    <t xml:space="preserve">Kerosene-Type Jet Fuel</t>
  </si>
  <si>
    <t xml:space="preserve">Liquefied Petroleum Gases (LPG)</t>
  </si>
  <si>
    <t xml:space="preserve">Lubricants</t>
  </si>
  <si>
    <t xml:space="preserve">Motor Gasoline</t>
  </si>
  <si>
    <t xml:space="preserve">Naphtha (&lt;401 deg F)</t>
  </si>
  <si>
    <t xml:space="preserve">Natural Gasoline</t>
  </si>
  <si>
    <t xml:space="preserve">Other Oil (&gt;401 deg F)</t>
  </si>
  <si>
    <t xml:space="preserve">Pentanes Plus</t>
  </si>
  <si>
    <t xml:space="preserve">Petrochemical Feedstocks</t>
  </si>
  <si>
    <t xml:space="preserve">Propylene</t>
  </si>
  <si>
    <t xml:space="preserve">Residual Fuel Oil No. 5</t>
  </si>
  <si>
    <t xml:space="preserve">Residual Fuel Oil No. 6</t>
  </si>
  <si>
    <t xml:space="preserve">Special Naphtha</t>
  </si>
  <si>
    <t xml:space="preserve">Unfinished Oils</t>
  </si>
  <si>
    <t xml:space="preserve">Used Oil</t>
  </si>
  <si>
    <t xml:space="preserve">Biomass Fuels - Liquid</t>
  </si>
  <si>
    <t xml:space="preserve">Biodiesel (100%)</t>
  </si>
  <si>
    <t xml:space="preserve">Ethanol (100%)</t>
  </si>
  <si>
    <t xml:space="preserve">Rendered Animal Fat</t>
  </si>
  <si>
    <t xml:space="preserve">Vegetable Oil</t>
  </si>
  <si>
    <t xml:space="preserve">Biomass Fuels - 
Kraft Pulping Liquor, by Wood Furnish</t>
  </si>
  <si>
    <t xml:space="preserve">North American Softwood</t>
  </si>
  <si>
    <t xml:space="preserve">North American Hardwood</t>
  </si>
  <si>
    <t xml:space="preserve">Bagasse</t>
  </si>
  <si>
    <t xml:space="preserve">Bamboo</t>
  </si>
  <si>
    <t xml:space="preserve">Straw</t>
  </si>
  <si>
    <t xml:space="preserve">Source:</t>
  </si>
  <si>
    <t xml:space="preserve">Federal Register EPA; 40 CFR Part 98; e-CFR, (see link below). Table C-1 and Table C-2 (78 FR 71950, Nov. 29, 2013, as amended at 81 FR 89252, Dec. 9, 2016), Table AA-1 (78 FR 71965, Nov. 29, 2013).  </t>
  </si>
  <si>
    <t xml:space="preserve">https://www.ecfr.gov/current/title-40/chapter-I/subchapter-C/part-98</t>
  </si>
  <si>
    <t xml:space="preserve">Notes: </t>
  </si>
  <si>
    <t xml:space="preserve">Emission factors are per unit of heat content using higher heating values (HHV). If heat content is available from the fuel supplier, it is preferable to use that value. If not, default heat contents are provided.</t>
  </si>
  <si>
    <t xml:space="preserve">All CO2 emission factors assume that 100 percent of the carbon content of the fuel is oxidized to CO2, as is recommended by the Intergovernmental Panel on Climate Change (IPCC). </t>
  </si>
  <si>
    <t xml:space="preserve">The CH4 and N2O emission factors provided represent emissions in terms of fuel type and by end-use sector (i.e., residential, commercial, industrial, electricity generation).</t>
  </si>
  <si>
    <t xml:space="preserve">Please see the Center for Corporate Climate Leadership's guidance document on Direct Emissions from Stationary Combustion Sources for guidance on how to include biomass fuels in an organization's greenhouse gas inventory.</t>
  </si>
  <si>
    <t xml:space="preserve">https://www.epa.gov/sites/default/files/2020-12/documents/stationaryemissions.pdf</t>
  </si>
  <si>
    <t xml:space="preserve">The factors represented in the table above represent combustion emissions only and do not represent upstream emissions.</t>
  </si>
  <si>
    <t xml:space="preserve">Table 2</t>
  </si>
  <si>
    <t xml:space="preserve">   Mobile Combustion CO2</t>
  </si>
  <si>
    <t xml:space="preserve">kg CO2 per unit</t>
  </si>
  <si>
    <t xml:space="preserve">gallon</t>
  </si>
  <si>
    <t xml:space="preserve">scf</t>
  </si>
  <si>
    <t xml:space="preserve">Residual Fuel Oil</t>
  </si>
  <si>
    <t xml:space="preserve">Federal Register EPA; 40 CFR Part 98; e-CFR, (see link below). Table C-1 (78 FR 71950, Nov. 29, 2013, as amended at 81 FR 89252, Dec. 9, 2016)</t>
  </si>
  <si>
    <t xml:space="preserve">LNG: The factor was developed based on the CO2 factor (kg CO2 per mmBtu) for Natural Gas from Table 1 and the higher heating value (HHV) LNG fuel density factor (btu/gallon) from the R&amp;D GREET1 2024 Model, Argonne National Laboratory published January 10, 2025 
(Fuel_Specs worksheet).</t>
  </si>
  <si>
    <t xml:space="preserve">More information on GREET can be found here: https://greet.anl.gov/</t>
  </si>
  <si>
    <t xml:space="preserve">The factors represented in the table above represent combustion emissions only (tank-to-wheel) and do not represent upstream emissions or well-to-wheel emissions.</t>
  </si>
  <si>
    <t xml:space="preserve">Table 3</t>
  </si>
  <si>
    <t xml:space="preserve">   Mobile Combustion CH4 and N2O for On-Road Gasoline Vehicles</t>
  </si>
  <si>
    <t xml:space="preserve">Vehicle Type</t>
  </si>
  <si>
    <t xml:space="preserve">Model Year</t>
  </si>
  <si>
    <t xml:space="preserve">CH4 Factor 
(g CH4 / vehicle-mile)</t>
  </si>
  <si>
    <t xml:space="preserve">N2O Factor 
(g N2O / vehicle-mile)</t>
  </si>
  <si>
    <t xml:space="preserve">Gasoline Passenger Cars</t>
  </si>
  <si>
    <t xml:space="preserve">1973-1974</t>
  </si>
  <si>
    <t xml:space="preserve">1976-1977</t>
  </si>
  <si>
    <t xml:space="preserve">1978-1979</t>
  </si>
  <si>
    <t xml:space="preserve">1984-1993</t>
  </si>
  <si>
    <t xml:space="preserve">Gasoline Light-Duty Trucks</t>
  </si>
  <si>
    <t xml:space="preserve">(Vans, Pickup Trucks, SUVs)</t>
  </si>
  <si>
    <t xml:space="preserve">1977-1978</t>
  </si>
  <si>
    <t xml:space="preserve">1979-1980</t>
  </si>
  <si>
    <t xml:space="preserve">1987-1993</t>
  </si>
  <si>
    <t xml:space="preserve">Gasoline Heavy-Duty Vehicles</t>
  </si>
  <si>
    <t xml:space="preserve"> ≤1980</t>
  </si>
  <si>
    <t xml:space="preserve">1981-1984</t>
  </si>
  <si>
    <t xml:space="preserve">1985-1986</t>
  </si>
  <si>
    <t xml:space="preserve">1988-1989</t>
  </si>
  <si>
    <t xml:space="preserve">1990-1995</t>
  </si>
  <si>
    <t xml:space="preserve">Gasoline Motorcycles</t>
  </si>
  <si>
    <t xml:space="preserve"> 1960-1995 </t>
  </si>
  <si>
    <t xml:space="preserve"> 1996-2005</t>
  </si>
  <si>
    <t xml:space="preserve"> 2006-2022</t>
  </si>
  <si>
    <t xml:space="preserve">Source: EPA (2024) Inventory of U.S. Greenhouse Gas Emissions and Sinks: 1990-2022 (Annexes). All values are calculated from Tables A-79 through A-83.</t>
  </si>
  <si>
    <t xml:space="preserve">https://www.epa.gov/ghgemissions/inventory-us-greenhouse-gas-emissions-and-sinks</t>
  </si>
  <si>
    <t xml:space="preserve">Notes: 
The factors represented in the table above represent combustion emissions only (tank-to-wheel) and do not represent upstream emissions or well-to-wheel emissions.</t>
  </si>
  <si>
    <t xml:space="preserve">Table 4</t>
  </si>
  <si>
    <t xml:space="preserve">    Mobile Combustion CH4 and N2O for On-Road Diesel and Alternative Fuel Vehicles</t>
  </si>
  <si>
    <t xml:space="preserve">Passenger Cars</t>
  </si>
  <si>
    <t xml:space="preserve">Diesel</t>
  </si>
  <si>
    <t xml:space="preserve">1960-1982</t>
  </si>
  <si>
    <t xml:space="preserve">1983-2006</t>
  </si>
  <si>
    <t xml:space="preserve">2007-2022</t>
  </si>
  <si>
    <t xml:space="preserve">Light-Duty Trucks</t>
  </si>
  <si>
    <t xml:space="preserve">Medium- and Heavy-Duty Vehicles</t>
  </si>
  <si>
    <t xml:space="preserve">1960-2006</t>
  </si>
  <si>
    <t xml:space="preserve">Light-Duty Cars</t>
  </si>
  <si>
    <t xml:space="preserve">Methanol</t>
  </si>
  <si>
    <t xml:space="preserve">Ethanol</t>
  </si>
  <si>
    <t xml:space="preserve">CNG</t>
  </si>
  <si>
    <t xml:space="preserve">Biodiesel</t>
  </si>
  <si>
    <t xml:space="preserve">LNG</t>
  </si>
  <si>
    <t xml:space="preserve">Medium-Duty Trucks</t>
  </si>
  <si>
    <t xml:space="preserve">Heavy-Duty Trucks</t>
  </si>
  <si>
    <t xml:space="preserve">Buses</t>
  </si>
  <si>
    <t xml:space="preserve">Source: EPA (2024) Inventory of U.S. Greenhouse Gas Emissions and Sinks: 1990-2022 (Annexes). All values are calculated from Tables A-84 through A-85.</t>
  </si>
  <si>
    <t xml:space="preserve">Table 5</t>
  </si>
  <si>
    <t xml:space="preserve">    Mobile Combustion CH4 and N2O for Non-Road Vehicles</t>
  </si>
  <si>
    <t xml:space="preserve">CH4 Factor 
(g CH4 / gallon) </t>
  </si>
  <si>
    <t xml:space="preserve">N2O Factor 
(g N2O / gallon) </t>
  </si>
  <si>
    <t xml:space="preserve">Ships and Boats</t>
  </si>
  <si>
    <t xml:space="preserve">Gasoline (2 stroke)</t>
  </si>
  <si>
    <t xml:space="preserve">Gasoline (4 stroke)</t>
  </si>
  <si>
    <t xml:space="preserve">Locomotives</t>
  </si>
  <si>
    <t xml:space="preserve">Aircraft</t>
  </si>
  <si>
    <t xml:space="preserve">Jet Fuel</t>
  </si>
  <si>
    <t xml:space="preserve">Agricultural EquipmentA</t>
  </si>
  <si>
    <t xml:space="preserve">Gasoline Off-Road Trucks</t>
  </si>
  <si>
    <t xml:space="preserve">Diesel Equipment</t>
  </si>
  <si>
    <t xml:space="preserve">Diesel Off-Road Trucks</t>
  </si>
  <si>
    <t xml:space="preserve">Construction/Mining EquipmentB</t>
  </si>
  <si>
    <t xml:space="preserve">Lawn and Garden Equipment</t>
  </si>
  <si>
    <t xml:space="preserve">Airport Equipment</t>
  </si>
  <si>
    <t xml:space="preserve">Gasoline</t>
  </si>
  <si>
    <t xml:space="preserve">Industrial/Commercial Equipment</t>
  </si>
  <si>
    <t xml:space="preserve">Logging Equipment</t>
  </si>
  <si>
    <t xml:space="preserve">Railroad Equipment</t>
  </si>
  <si>
    <t xml:space="preserve">Recreational Equipment</t>
  </si>
  <si>
    <t xml:space="preserve">Source: EPA (2024) Inventory of U.S. Greenhouse Gas Emissions and Sinks: 1990-2022 (Annexes). All values are calculated from Tables A-86 and A-87.</t>
  </si>
  <si>
    <t xml:space="preserve">Notes: 
The factors represented in the table above represent combustion emissions only (tank-to-wheel) and do not represent upstream emissions or well-to-wheel emissions.
A Includes equipment, such as tractors and combines, as well as fuel consumption from trucks that are used off-road in agriculture.   
B Includes equipment, such as cranes, dumpers, and excavators, as well as fuel consumption from trucks that are used off-road in construction. </t>
  </si>
  <si>
    <t xml:space="preserve">Table 6</t>
  </si>
  <si>
    <t xml:space="preserve">   Electricity</t>
  </si>
  <si>
    <t xml:space="preserve">Total Output Emission Factors</t>
  </si>
  <si>
    <t xml:space="preserve">Non-Baseload Emission Factors</t>
  </si>
  <si>
    <t xml:space="preserve">eGRID Subregion Acronym</t>
  </si>
  <si>
    <t xml:space="preserve">eGRID Subregion Name</t>
  </si>
  <si>
    <t xml:space="preserve">Grid Gross Loss (%)</t>
  </si>
  <si>
    <t xml:space="preserve">(lb CO2 / MWh)</t>
  </si>
  <si>
    <t xml:space="preserve">(lb CH4 / MWh)</t>
  </si>
  <si>
    <t xml:space="preserve">(lb N2O / MWh)</t>
  </si>
  <si>
    <t xml:space="preserve">AKGD</t>
  </si>
  <si>
    <t xml:space="preserve">ASCC Alaska Grid</t>
  </si>
  <si>
    <t xml:space="preserve">AKMS</t>
  </si>
  <si>
    <t xml:space="preserve">ASCC Miscellaneous</t>
  </si>
  <si>
    <t xml:space="preserve">AZNM</t>
  </si>
  <si>
    <t xml:space="preserve">WECC Southwest</t>
  </si>
  <si>
    <t xml:space="preserve">CAMX</t>
  </si>
  <si>
    <t xml:space="preserve">WECC California</t>
  </si>
  <si>
    <t xml:space="preserve">ERCT</t>
  </si>
  <si>
    <t xml:space="preserve">ERCOT All</t>
  </si>
  <si>
    <t xml:space="preserve">FRCC</t>
  </si>
  <si>
    <t xml:space="preserve">FRCC All</t>
  </si>
  <si>
    <t xml:space="preserve">HIMS</t>
  </si>
  <si>
    <t xml:space="preserve">HICC Miscellaneous</t>
  </si>
  <si>
    <t xml:space="preserve">HIOA</t>
  </si>
  <si>
    <t xml:space="preserve">HICC Oahu</t>
  </si>
  <si>
    <t xml:space="preserve">MROE</t>
  </si>
  <si>
    <t xml:space="preserve">MRO East</t>
  </si>
  <si>
    <t xml:space="preserve">MROW</t>
  </si>
  <si>
    <t xml:space="preserve">MRO West</t>
  </si>
  <si>
    <t xml:space="preserve">NEWE</t>
  </si>
  <si>
    <t xml:space="preserve">NPCC New England</t>
  </si>
  <si>
    <t xml:space="preserve">NWPP</t>
  </si>
  <si>
    <t xml:space="preserve">WECC Northwest</t>
  </si>
  <si>
    <t xml:space="preserve">NYCW</t>
  </si>
  <si>
    <t xml:space="preserve">NPCC NYC/Westchester</t>
  </si>
  <si>
    <t xml:space="preserve">NYLI</t>
  </si>
  <si>
    <t xml:space="preserve">NPCC Long Island</t>
  </si>
  <si>
    <t xml:space="preserve">NYUP</t>
  </si>
  <si>
    <t xml:space="preserve">NPCC Upstate NY</t>
  </si>
  <si>
    <t xml:space="preserve">PRMS</t>
  </si>
  <si>
    <t xml:space="preserve">Puerto Rico Miscellaneous</t>
  </si>
  <si>
    <t xml:space="preserve">RFCE</t>
  </si>
  <si>
    <t xml:space="preserve">RFC East</t>
  </si>
  <si>
    <t xml:space="preserve">RFCM</t>
  </si>
  <si>
    <t xml:space="preserve">RFC Michigan</t>
  </si>
  <si>
    <t xml:space="preserve">RFCW</t>
  </si>
  <si>
    <t xml:space="preserve">RFC West</t>
  </si>
  <si>
    <t xml:space="preserve">RMPA</t>
  </si>
  <si>
    <t xml:space="preserve">WECC Rockies</t>
  </si>
  <si>
    <t xml:space="preserve">SPNO</t>
  </si>
  <si>
    <t xml:space="preserve">SPP North</t>
  </si>
  <si>
    <t xml:space="preserve">SPSO</t>
  </si>
  <si>
    <t xml:space="preserve">SPP South</t>
  </si>
  <si>
    <t xml:space="preserve">SRMV</t>
  </si>
  <si>
    <t xml:space="preserve">SERC Mississippi Valley</t>
  </si>
  <si>
    <t xml:space="preserve">SRMW</t>
  </si>
  <si>
    <t xml:space="preserve">SERC Midwest</t>
  </si>
  <si>
    <t xml:space="preserve">SRSO</t>
  </si>
  <si>
    <t xml:space="preserve">SERC South</t>
  </si>
  <si>
    <t xml:space="preserve">SRTV</t>
  </si>
  <si>
    <t xml:space="preserve">SERC Tennessee Valley</t>
  </si>
  <si>
    <t xml:space="preserve">SRVC</t>
  </si>
  <si>
    <t xml:space="preserve">SERC Virginia/Carolina</t>
  </si>
  <si>
    <t xml:space="preserve">Source: EPA eGRID2023, January 2025 (Summary Tables - Table 1. Subregion Output Emission Rates)</t>
  </si>
  <si>
    <t xml:space="preserve">https://www.epa.gov/system/files/documents/2025-01/egrid2023_summary_tables.xlsx</t>
  </si>
  <si>
    <t xml:space="preserve">Notes:</t>
  </si>
  <si>
    <t xml:space="preserve">Total output emission factors can be used as default factors for estimating GHG emissions from electricity use when developing a carbon footprint or emissions inventory. </t>
  </si>
  <si>
    <t xml:space="preserve">Annual non-baseload output emission factors should not be used when developing a carbon footprint or emissions inventory, but can be used to estimate GHG emissions reductions on the grid from changes in electricity use. </t>
  </si>
  <si>
    <t xml:space="preserve">Grid gross loss % factors provide the Transmission &amp; Distribution loss rates for electricity only, and should not be applied to scope 2 emissions for an end-user. They can assist in calculating one component of Scope 3 Category 3 Fuel- and Energy-Related Activities emissions, Activity C.</t>
  </si>
  <si>
    <t xml:space="preserve">For technical information, reference the EPA's eGRID Technical Guide</t>
  </si>
  <si>
    <t xml:space="preserve">https://www.epa.gov/system/files/documents/2025-01/egrid2023_technical_guide.pdf</t>
  </si>
  <si>
    <t xml:space="preserve">Table 7</t>
  </si>
  <si>
    <t xml:space="preserve">Steam and Heat</t>
  </si>
  <si>
    <t xml:space="preserve">CO2 Factor 
(kg CO2 / mmBtu)</t>
  </si>
  <si>
    <t xml:space="preserve">CH4 Factor 
(g CH4 / mmBtu) </t>
  </si>
  <si>
    <t xml:space="preserve">N2O Factor 
(g N2O / mmBtu) </t>
  </si>
  <si>
    <t xml:space="preserve">Emission factors are per mmBtu of steam or heat purchased. These factors assume natural gas fuel is used to generate steam or heat at 80 percent thermal efficiency.  </t>
  </si>
  <si>
    <t xml:space="preserve">Scope 3 Emission Factors</t>
  </si>
  <si>
    <t xml:space="preserve">Scope 3 emission factors provided below are aligned with the Greenhouse Gas Protocol Technical Guidance for Calculating Scope 3 Emissions, version 1.0 (Scope 3 Calculation Guidance). Where applicable, the specific calculation method is referenced. Refer to the Scope 3 Calculation Guidance for more information:</t>
  </si>
  <si>
    <t xml:space="preserve">http://www.ghgprotocol.org/scope-3-technical-calculation-guidance</t>
  </si>
  <si>
    <t xml:space="preserve">Table 8</t>
  </si>
  <si>
    <t xml:space="preserve">   Scope 3 Category 4: Upstream Transportation and Distribution and Category 9: Downstream Transportation and Distribution</t>
  </si>
  <si>
    <t xml:space="preserve">These factors are intended for use in the distance-based method defined in the Scope 3 Calculation Guidance. If fuel data are available, then the fuel-based method should be used, with factors from Tables 2 through 5. </t>
  </si>
  <si>
    <t xml:space="preserve">CO2 Factor 
(kg CO2 / unit)</t>
  </si>
  <si>
    <t xml:space="preserve">CH4 Factor 
(g CH4 / unit)</t>
  </si>
  <si>
    <t xml:space="preserve">N2O Factor 
(g N2O / unit)</t>
  </si>
  <si>
    <t xml:space="preserve">Units</t>
  </si>
  <si>
    <t xml:space="preserve">Medium- and Heavy-Duty Truck</t>
  </si>
  <si>
    <t xml:space="preserve">vehicle-mile</t>
  </si>
  <si>
    <t xml:space="preserve">Passenger Car A</t>
  </si>
  <si>
    <t xml:space="preserve">Light-Duty Truck B</t>
  </si>
  <si>
    <t xml:space="preserve">Medium- and Heavy-Duty TruckC</t>
  </si>
  <si>
    <t xml:space="preserve">short ton-mile</t>
  </si>
  <si>
    <t xml:space="preserve">Rail</t>
  </si>
  <si>
    <t xml:space="preserve">Waterborne Craft</t>
  </si>
  <si>
    <t xml:space="preserve">Source: 
CO2, CH4, and N2O emissions data for on-road vehicles are from Table 2-13 of the EPA (2024) Inventory of U.S. Greenhouse Gas Emissions and Sinks: 1990-2022.
Vehicle-miles data for on-road vehicles are from Tables A-71 - A-73 of the EPA (2024) Inventory of U.S. Greenhouse Gas Emissions and Sinks: 1990–2022 (Annexes).  
CO2e emissions data for non-road vehicles are based on Table A-93 of the EPA (2024) Inventory of U.S. Greenhouse Gas Emissions and Sinks: 1990-2022 (Annexes), which are distributed into CO2, CH4, and N2O emissions based on fuel/vehicle emission factors.
Freight ton-mile data are from Table 1-50 of the Bureau of Transportation Statistics, National Transportation Statistics (2024): 2022 data.</t>
  </si>
  <si>
    <t xml:space="preserve">Notes: 
Vehicle-mile factors are appropriate to use when the entire vehicle is dedicated to transporting the reporting company's product. Ton-mile factors are appropriate when the vehicle is shared with products from other companies.
The factors represented in the table above represent combustion emissions only (tank-to-wheel) and do not represent upstream emissions or well-to-wheel emissions.
A Passenger cars are automobiles used primarily to transport 12 people or less for personal travel, and are less than 8,500 lbs in gross vehicle weight.
B Light-duty trucks are vehicles that primarily transport passengers such as sport utility vehicles (SUVs) and minivans. This category also includes vehicles used for transporting light-weight cargo which are equipped with special features such as four-wheel drive for off-road operation. The gross vehicle weight normally ranges around 8,500 pounds or less. 
C Medium- and heavy-duty trucks are vehicles with a gross vehicle weight of more than around 8,500 pounds, such as single unit trucks, combination trucks, tractor-trailers, and box trucks used for freight transportation. In addition, this category includes some vehicles that are not typically used for freight movement such as service and utility trucks.</t>
  </si>
  <si>
    <t xml:space="preserve">Table 9</t>
  </si>
  <si>
    <t xml:space="preserve">Scope 3 Category 5: Waste Generated in Operations and Category 12: End-of-Life Treatment of Sold Products</t>
  </si>
  <si>
    <t xml:space="preserve">These factors are intended for use in the waste-type-specific method or the average-data method defined in the Scope 3 Calculation Guidance for category 5 and category 12. Choose the appropriate material and disposal method from the table below. For the average-data method, use one of the mixed material types, such as mixed MSW.</t>
  </si>
  <si>
    <t xml:space="preserve">Metric Tons CO2e / Short Ton Material</t>
  </si>
  <si>
    <t xml:space="preserve">Material</t>
  </si>
  <si>
    <t xml:space="preserve">RecycledA</t>
  </si>
  <si>
    <t xml:space="preserve">LandfilledB</t>
  </si>
  <si>
    <t xml:space="preserve">CombustedC</t>
  </si>
  <si>
    <t xml:space="preserve">CompostedD</t>
  </si>
  <si>
    <t xml:space="preserve">Anaerobically Digested (Dry Digestate with Curing)</t>
  </si>
  <si>
    <t xml:space="preserve">Anaerobically Digested (Wet  Digestate with Curing)</t>
  </si>
  <si>
    <t xml:space="preserve">Aluminum Cans</t>
  </si>
  <si>
    <t xml:space="preserve">NA</t>
  </si>
  <si>
    <t xml:space="preserve">Aluminum Ingot</t>
  </si>
  <si>
    <t xml:space="preserve">Steel Cans</t>
  </si>
  <si>
    <t xml:space="preserve">Copper Wire</t>
  </si>
  <si>
    <t xml:space="preserve">Glass</t>
  </si>
  <si>
    <t xml:space="preserve">HDPE</t>
  </si>
  <si>
    <t xml:space="preserve">LDPE</t>
  </si>
  <si>
    <t xml:space="preserve">PET</t>
  </si>
  <si>
    <t xml:space="preserve">LLDPE</t>
  </si>
  <si>
    <t xml:space="preserve">PP</t>
  </si>
  <si>
    <t xml:space="preserve">PS</t>
  </si>
  <si>
    <t xml:space="preserve">PVC</t>
  </si>
  <si>
    <t xml:space="preserve">PLA</t>
  </si>
  <si>
    <t xml:space="preserve">Corrugated Containers</t>
  </si>
  <si>
    <t xml:space="preserve">Magazines/Third-class mail</t>
  </si>
  <si>
    <t xml:space="preserve">Newspaper</t>
  </si>
  <si>
    <t xml:space="preserve">Office Paper</t>
  </si>
  <si>
    <t xml:space="preserve">Phonebooks</t>
  </si>
  <si>
    <t xml:space="preserve">Textbooks</t>
  </si>
  <si>
    <t xml:space="preserve">Dimensional Lumber</t>
  </si>
  <si>
    <t xml:space="preserve">Medium-density Fiberboard</t>
  </si>
  <si>
    <t xml:space="preserve">Food Waste (non-meat)</t>
  </si>
  <si>
    <t xml:space="preserve">Food Waste (meat only)</t>
  </si>
  <si>
    <t xml:space="preserve">Beef</t>
  </si>
  <si>
    <t xml:space="preserve">Poultry</t>
  </si>
  <si>
    <t xml:space="preserve">Grains</t>
  </si>
  <si>
    <t xml:space="preserve">Bread</t>
  </si>
  <si>
    <t xml:space="preserve">Fruits and Vegetables</t>
  </si>
  <si>
    <t xml:space="preserve">Dairy Products</t>
  </si>
  <si>
    <t xml:space="preserve">Yard Trimmings</t>
  </si>
  <si>
    <t xml:space="preserve">Grass</t>
  </si>
  <si>
    <t xml:space="preserve">Leaves</t>
  </si>
  <si>
    <t xml:space="preserve">Branches</t>
  </si>
  <si>
    <t xml:space="preserve">Mixed Paper (general)</t>
  </si>
  <si>
    <t xml:space="preserve">Mixed Paper (primarily residential)</t>
  </si>
  <si>
    <t xml:space="preserve">Mixed Paper (primarily from offices)</t>
  </si>
  <si>
    <t xml:space="preserve">Mixed Metals</t>
  </si>
  <si>
    <t xml:space="preserve">Mixed Plastics</t>
  </si>
  <si>
    <t xml:space="preserve">Mixed Recyclables</t>
  </si>
  <si>
    <t xml:space="preserve">Food Waste</t>
  </si>
  <si>
    <t xml:space="preserve">Mixed Organics</t>
  </si>
  <si>
    <t xml:space="preserve">Mixed MSW</t>
  </si>
  <si>
    <t xml:space="preserve">Carpet</t>
  </si>
  <si>
    <t xml:space="preserve">Desktop CPUs</t>
  </si>
  <si>
    <t xml:space="preserve">Portable Electronic Devices</t>
  </si>
  <si>
    <t xml:space="preserve">Flat-panel Displays</t>
  </si>
  <si>
    <t xml:space="preserve">CRT Displays</t>
  </si>
  <si>
    <t xml:space="preserve">Electronic Peripherals</t>
  </si>
  <si>
    <t xml:space="preserve">Hard-copy Devices</t>
  </si>
  <si>
    <t xml:space="preserve">Mixed Electronics</t>
  </si>
  <si>
    <t xml:space="preserve">Clay Bricks</t>
  </si>
  <si>
    <t xml:space="preserve">Concrete</t>
  </si>
  <si>
    <t xml:space="preserve">Fly Ash</t>
  </si>
  <si>
    <t xml:space="preserve">Asphalt Concrete</t>
  </si>
  <si>
    <t xml:space="preserve">Asphalt Shingles</t>
  </si>
  <si>
    <t xml:space="preserve">Drywall</t>
  </si>
  <si>
    <t xml:space="preserve">Fiberglass Insulation</t>
  </si>
  <si>
    <t xml:space="preserve">Structural Steel</t>
  </si>
  <si>
    <t xml:space="preserve">Vinyl Flooring</t>
  </si>
  <si>
    <t xml:space="preserve">Wood Flooring</t>
  </si>
  <si>
    <t xml:space="preserve">Source: </t>
  </si>
  <si>
    <t xml:space="preserve">U.S. Environmental Protection Agency, Office of Resource Conservation and Recovery (December 2023) Documentation for Greenhouse Gas Emission and Energy Factors used in the Waste Reduction Model (WARM). Factors from tables provided in the Management Practices Chapters and Background Chapters. </t>
  </si>
  <si>
    <t xml:space="preserve">Notes:
These factors do not include avoided emissions impact from any of the disposal methods. This exclusion is an adjustment to the life-cycle factors in the WARM tool. Thus the waste factors presented above will not directly match the factors published in the WARM tool. All the factors presented above include transportation emissions, which are optional in the Scope 3 Calculation Guidance, with an assumed average distance traveled to the processing facility.
AR4 GWP values are used to convert all waste emission factors into CO2e. 
Short ton = 2000 lbs.
A Recycling emissions do not include avoided emissions associated with process energy, transportation energy, process non-energy, or forest carbon storage. Recycling emissions include transport to recycling facility and sorting of recycled materials at material recovery facility.
B Landfilling emissions do not include avoided emissions associated with energy recovery or landfill carbon sequestration. Landfilling emissions include transport to landfill, equipment use at landfill, and landfill CH4 emissions from anaerobic decomposition of biogenic carbon compounds. Landfill CH4 is based on typical landfill gas collection practices, average landfill moisture conditions, and U.S.-average non-baseload electricity grid mix.
C Combustion emissions do not include avoided emissions associated with displaced electric utility generation or decreased energy requirements for production processes using recycled inputs. Combustion emissions include transport to waste-to-energy facility and combustion-related non-biogenic CO2 and N2O.
D Composting emissions do not include avoided emissions associated with fertilizer offset or soil carbon storage. Composting emissions include transport to compost facility, equipment use at compost facility, and CH4 and N2O emissions during composting.
E Anaerobically Digested (Dry and Wet Digestate with Curing) emissions do not include avoided emissions associated with displaced electric utility generation, soil carbon storage, or avoided fertilizer application. Anaerobically Digested (Dry and Wet Digestate with Curing) emissions include transport to the anaerobic digester facility, equipment use at the anaerobic digester facility, biogas leakage at the digester, emissions released during the curing and land application process, and fugitive emissions during the curing and after land application. </t>
  </si>
  <si>
    <t xml:space="preserve">Table 10</t>
  </si>
  <si>
    <t xml:space="preserve">Scope 3 Category 6: Business Travel and Category 7: Employee Commuting </t>
  </si>
  <si>
    <t xml:space="preserve">These factors are intended for use in the distance-based method defined in the Scope 3 Calculation Guidance.  If fuel data are available, then the fuel-based method should be used, with factors from Tables 2 through 5. </t>
  </si>
  <si>
    <t xml:space="preserve">Motorcycle</t>
  </si>
  <si>
    <t xml:space="preserve">Intercity Rail - Northeast Corridor C</t>
  </si>
  <si>
    <t xml:space="preserve">passenger-mile</t>
  </si>
  <si>
    <t xml:space="preserve">Intercity Rail - Other Routes C</t>
  </si>
  <si>
    <t xml:space="preserve">Intercity Rail - National Average C</t>
  </si>
  <si>
    <t xml:space="preserve">Commuter Rail D</t>
  </si>
  <si>
    <t xml:space="preserve">Transit Rail (i.e. Subway, Tram) E</t>
  </si>
  <si>
    <t xml:space="preserve">Bus</t>
  </si>
  <si>
    <t xml:space="preserve">Air Travel - Short Haul (&lt; 300 miles) </t>
  </si>
  <si>
    <t xml:space="preserve">Air Travel - Medium Haul (&gt;= 300 miles, &lt; 2300 miles) </t>
  </si>
  <si>
    <t xml:space="preserve">Air Travel - Long Haul (&gt;= 2300 miles) </t>
  </si>
  <si>
    <t xml:space="preserve">Source: 
CO2, CH4, and N2O emissions data for highway vehicles are from Table 2-13 of the EPA (2024) Inventory of U.S. Greenhouse Gas Emissions and Sinks: 1990–2022.  
Vehicle-miles data for on-road vehicles are from Tables A-71 - A-73 of the EPA (2024) Inventory of U.S. Greenhouse Gas Emissions and Sinks: 1990–2022 (Annexes).  
Passenger-miles data for buses are from Table VM-1 of the Federal Highway Administration Highway Statistics (2024): 2022 data.
Fuel consumption data and passenger-miles data for rail are from Tables A.14 - A.16, 10-10, and 7.3 - 7.4 of the Transportation Energy Data Book: Edition 40 (2022): 2019 data. Fuel consumption was converted to emissions by using fuel and electricity emission factors presented in the tables above. 
Intercity Rail factors from communication with Amtrak, December 2024, based on 2023 data. 
Air Travel factors from 2022 Guidelines to Defra / DECC's GHG Conversion Factors for Company Reporting. Version 2.0 June 2022. Defra air travel emission factors held constant from 2022 release (2018 activity data) to more accurately reflect the current state of business travel as the 2023 and 2024 Defra release reflects significantly reduced load factors during COVID-19. </t>
  </si>
  <si>
    <t xml:space="preserve">Notes: 
The factors represented in the table above represent combustion emissions only (tank-to-wheel) and do not represent upstream emissions or well-to-wheel emissions.
A Passenger cars are automobiles used primarily to transport 12 people or less for personal travel, and are less than 8,500 lbs in gross vehicle weight.
B Light-duty trucks are vehicles that primarily transport passengers such as sport utility vehicles (SUVs) and minivans. This category also includes vehicles used for transporting light-weight cargo which are equipped with special features such as four-wheel drive for off-road operation. The gross vehicle weight normally ranges around 8,500 pounds or less. 
C Intercity rail: Amtrak long-distance rail between major cities. Northeast Corridor extends from Boston to Washington D.C. Other Routes are all routes outside the Northeast Corridor.
D Commuter rail: rail service between a central city and adjacent suburbs (also called regional rail or suburban rail).  
E Transit rail: rail typically within an urban center, such as subways, elevated railways, metropolitan railways (metro), streetcars, trolley cars, and tramways.</t>
  </si>
  <si>
    <t xml:space="preserve">Global Warming Potential</t>
  </si>
  <si>
    <t xml:space="preserve">Table 11</t>
  </si>
  <si>
    <t xml:space="preserve">   Global Warming Potential (GWP)</t>
  </si>
  <si>
    <t xml:space="preserve">Industrial Designation or 
Common Name </t>
  </si>
  <si>
    <t xml:space="preserve">Chemical Formula </t>
  </si>
  <si>
    <t xml:space="preserve">Carbon dioxide</t>
  </si>
  <si>
    <t xml:space="preserve">CO2</t>
  </si>
  <si>
    <t xml:space="preserve">Methane</t>
  </si>
  <si>
    <t xml:space="preserve">Nitrous oxide</t>
  </si>
  <si>
    <t xml:space="preserve">HFC-23</t>
  </si>
  <si>
    <t xml:space="preserve">CHF3</t>
  </si>
  <si>
    <t xml:space="preserve">HFC-32</t>
  </si>
  <si>
    <t xml:space="preserve">CH2F2  </t>
  </si>
  <si>
    <t xml:space="preserve">HFC-41</t>
  </si>
  <si>
    <t xml:space="preserve">CH3F </t>
  </si>
  <si>
    <t xml:space="preserve">HFC-125</t>
  </si>
  <si>
    <t xml:space="preserve">CHF2CF3</t>
  </si>
  <si>
    <t xml:space="preserve">HFC-134</t>
  </si>
  <si>
    <t xml:space="preserve">CHF2CHF2</t>
  </si>
  <si>
    <t xml:space="preserve">CH2FCF3  </t>
  </si>
  <si>
    <t xml:space="preserve">HFC-143</t>
  </si>
  <si>
    <t xml:space="preserve">CH2FCHF2</t>
  </si>
  <si>
    <t xml:space="preserve">HFC-143a</t>
  </si>
  <si>
    <t xml:space="preserve">CH3CF3  </t>
  </si>
  <si>
    <t xml:space="preserve">HFC-152</t>
  </si>
  <si>
    <t xml:space="preserve">CH2FCH2F</t>
  </si>
  <si>
    <t xml:space="preserve">HFC-152a</t>
  </si>
  <si>
    <t xml:space="preserve">CH3CHF2  </t>
  </si>
  <si>
    <t xml:space="preserve">HFC-161</t>
  </si>
  <si>
    <t xml:space="preserve">CH3CH2F</t>
  </si>
  <si>
    <t xml:space="preserve">HFC-227ea</t>
  </si>
  <si>
    <t xml:space="preserve">CF3CHFCF3  </t>
  </si>
  <si>
    <t xml:space="preserve">HFC-236cb</t>
  </si>
  <si>
    <t xml:space="preserve">CH2FCF2CF3</t>
  </si>
  <si>
    <t xml:space="preserve">HFC-236ea</t>
  </si>
  <si>
    <t xml:space="preserve">CHF2CHFCF3</t>
  </si>
  <si>
    <t xml:space="preserve">HFC-236fa</t>
  </si>
  <si>
    <t xml:space="preserve">CF3CH2CF3  </t>
  </si>
  <si>
    <t xml:space="preserve">HFC-245ca</t>
  </si>
  <si>
    <t xml:space="preserve">CH2FCF2CHF2</t>
  </si>
  <si>
    <t xml:space="preserve">HFC-245fa</t>
  </si>
  <si>
    <t xml:space="preserve">CHF2CH2CF3  </t>
  </si>
  <si>
    <t xml:space="preserve">HFC-365mfc</t>
  </si>
  <si>
    <t xml:space="preserve">CH3CF2CH2CF3  </t>
  </si>
  <si>
    <t xml:space="preserve">HFC-43-10mee</t>
  </si>
  <si>
    <t xml:space="preserve">CF3CHFCHFCF2CF3  </t>
  </si>
  <si>
    <t xml:space="preserve">Sulfur hexafluoride</t>
  </si>
  <si>
    <t xml:space="preserve">SF6</t>
  </si>
  <si>
    <t xml:space="preserve">Nitrogen trifluoride</t>
  </si>
  <si>
    <t xml:space="preserve">NF3</t>
  </si>
  <si>
    <t xml:space="preserve">PFC-14</t>
  </si>
  <si>
    <t xml:space="preserve">CF4</t>
  </si>
  <si>
    <t xml:space="preserve">PFC-116</t>
  </si>
  <si>
    <t xml:space="preserve">C2F6</t>
  </si>
  <si>
    <t xml:space="preserve">PFC-218</t>
  </si>
  <si>
    <t xml:space="preserve">C3F8</t>
  </si>
  <si>
    <t xml:space="preserve">PFC-318</t>
  </si>
  <si>
    <t xml:space="preserve">c-C4F8</t>
  </si>
  <si>
    <t xml:space="preserve">PFC-31-10</t>
  </si>
  <si>
    <t xml:space="preserve">C4F10</t>
  </si>
  <si>
    <t xml:space="preserve">PFC-41-12</t>
  </si>
  <si>
    <t xml:space="preserve">C5F12</t>
  </si>
  <si>
    <t xml:space="preserve">PFC-51-14</t>
  </si>
  <si>
    <t xml:space="preserve">C6F14</t>
  </si>
  <si>
    <t xml:space="preserve">PFC-91-18</t>
  </si>
  <si>
    <t xml:space="preserve">C10F18</t>
  </si>
  <si>
    <t xml:space="preserve">Source: 
100-year GWP values from IPCC Fifth Assessment Report (AR5), 2013. Chapter 8, Table 8.A.1, Lifetimes, Radiative Efficiencies and Metric Values.
IPCC AR5 was published in 2013 and is among the most current and comprehensive peer-reviewed assessments of climate change. AR5 provides revised GWP values of several GHGs relative to the values provided in previous assessment reports, following advances in scientific knowledge on the radiative efficiencies and atmospheric lifetimes of these GHGs. </t>
  </si>
  <si>
    <t xml:space="preserve">Table 12</t>
  </si>
  <si>
    <t xml:space="preserve">Global Warming Potential (GWP) for Blended Refrigerants</t>
  </si>
  <si>
    <t xml:space="preserve">ASHRAE #</t>
  </si>
  <si>
    <t xml:space="preserve">100-year GWP</t>
  </si>
  <si>
    <t xml:space="preserve">Blend Composition</t>
  </si>
  <si>
    <t xml:space="preserve">R-401A</t>
  </si>
  <si>
    <t xml:space="preserve">53% HCFC-22 , 34% HCFC-124 , 13% HFC-152a</t>
  </si>
  <si>
    <t xml:space="preserve">R-401B</t>
  </si>
  <si>
    <t xml:space="preserve">61% HCFC-22 , 28% HCFC-124 , 11% HFC-152a</t>
  </si>
  <si>
    <t xml:space="preserve">R-401C</t>
  </si>
  <si>
    <t xml:space="preserve">33% HCFC-22 , 52% HCFC-124 , 15% HFC-152a</t>
  </si>
  <si>
    <t xml:space="preserve">R-402A</t>
  </si>
  <si>
    <t xml:space="preserve">38% HCFC-22 , 60% HFC-125 , 2% propane</t>
  </si>
  <si>
    <t xml:space="preserve">R-402B</t>
  </si>
  <si>
    <t xml:space="preserve">60% HCFC-22 , 38% HFC-125 , 2% propane</t>
  </si>
  <si>
    <t xml:space="preserve">R-403B</t>
  </si>
  <si>
    <t xml:space="preserve">56% HCFC-22 , 39% PFC-218 , 5% propane</t>
  </si>
  <si>
    <t xml:space="preserve">R-404A</t>
  </si>
  <si>
    <t xml:space="preserve">44% HFC-125 , 4% HFC-134a , 52% HFC-143a</t>
  </si>
  <si>
    <t xml:space="preserve">R-406A</t>
  </si>
  <si>
    <t xml:space="preserve">55% HCFC-22 , 41% HCFC-142b , 4% isobutane</t>
  </si>
  <si>
    <t xml:space="preserve">R-407A</t>
  </si>
  <si>
    <t xml:space="preserve">20% HFC-32 , 40% HFC-125 , 40% HFC-134a</t>
  </si>
  <si>
    <t xml:space="preserve">R-407B</t>
  </si>
  <si>
    <t xml:space="preserve">10% HFC-32 , 70% HFC-125 , 20% HFC-134a</t>
  </si>
  <si>
    <t xml:space="preserve">R-407C</t>
  </si>
  <si>
    <t xml:space="preserve">23% HFC-32 , 25% HFC-125 , 52% HFC-134a</t>
  </si>
  <si>
    <t xml:space="preserve">R-407D</t>
  </si>
  <si>
    <t xml:space="preserve">15% HFC-32 , 15% HFC-125 , 70% HFC-134a</t>
  </si>
  <si>
    <t xml:space="preserve">R-408A</t>
  </si>
  <si>
    <t xml:space="preserve">47% HCFC-22 , 7% HFC-125 , 46% HFC-143a</t>
  </si>
  <si>
    <t xml:space="preserve">R-409A</t>
  </si>
  <si>
    <t xml:space="preserve">60% HCFC-22 , 25% HCFC-124 , 15% HCFC-142b</t>
  </si>
  <si>
    <t xml:space="preserve">R-410A</t>
  </si>
  <si>
    <t xml:space="preserve">50% HFC-32 , 50% HFC-125</t>
  </si>
  <si>
    <t xml:space="preserve">R-410B</t>
  </si>
  <si>
    <t xml:space="preserve">45% HFC-32 , 55% HFC-125</t>
  </si>
  <si>
    <t xml:space="preserve">R-411A</t>
  </si>
  <si>
    <t xml:space="preserve">87.5% HCFC-22 , 11% HFC-152a , 1.5% propylene</t>
  </si>
  <si>
    <t xml:space="preserve">R-411B</t>
  </si>
  <si>
    <t xml:space="preserve">94% HCFC-22 , 3% HFC-152a , 3% propylene</t>
  </si>
  <si>
    <t xml:space="preserve">R-414A</t>
  </si>
  <si>
    <t xml:space="preserve">51% HCFC-22 , 28.5% HCFC-124 , 16.5% HCFC-142b , 4% isobutane</t>
  </si>
  <si>
    <t xml:space="preserve">R-414B</t>
  </si>
  <si>
    <t xml:space="preserve">50% HCFC-22 , 39% HCFC-124 , 9.5% HCFC-142b , 1.5% isobutane</t>
  </si>
  <si>
    <t xml:space="preserve">R-417A</t>
  </si>
  <si>
    <t xml:space="preserve">46.6% HFC-125 , 50% HFC-134a , 3.4% butane</t>
  </si>
  <si>
    <t xml:space="preserve">R-422A</t>
  </si>
  <si>
    <t xml:space="preserve">85.1% HFC-125 , 11.5% HFC-134a , 3.4% isobutane</t>
  </si>
  <si>
    <t xml:space="preserve">R-422D</t>
  </si>
  <si>
    <t xml:space="preserve">65.1% HFC-125 , 31.5% HFC-134a , 3.4% isobutane</t>
  </si>
  <si>
    <t xml:space="preserve">R-424A</t>
  </si>
  <si>
    <t xml:space="preserve">50.5% HFC-125 , 47% HFC-134a , 1% butane , 0.9% isobutane , 0.6% isopentane</t>
  </si>
  <si>
    <t xml:space="preserve">R-426A</t>
  </si>
  <si>
    <t xml:space="preserve">5.1% HFC-125 , 93% HFC-134a , 1.3% butane , 0.6% isobutane</t>
  </si>
  <si>
    <t xml:space="preserve">R-428A</t>
  </si>
  <si>
    <t xml:space="preserve">77.5% HFC-125 , 20% HFC-143a , 1.9% isobutane , 0.6% propane</t>
  </si>
  <si>
    <t xml:space="preserve">R-434A</t>
  </si>
  <si>
    <t xml:space="preserve">63.2% HFC-125 , 16% HFC-134a , 18% HFC-143a , 2.8% isobutane</t>
  </si>
  <si>
    <t xml:space="preserve">R-507A</t>
  </si>
  <si>
    <t xml:space="preserve">50% HFC-125 , 50% HFC-143a</t>
  </si>
  <si>
    <t xml:space="preserve">R-508A</t>
  </si>
  <si>
    <t xml:space="preserve">39% HFC-23 , 61% PFC-116</t>
  </si>
  <si>
    <t xml:space="preserve">R-508B</t>
  </si>
  <si>
    <t xml:space="preserve">46% HFC-23 , 54% PFC-116</t>
  </si>
  <si>
    <t xml:space="preserve">Source: 
100-year GWP values from IPCC Fifth Assessment Report (AR5), 2013. Chapter 8, Table 8.A.1, Lifetimes, Radiative Efficiencies and Metric Values.
GWP values of blended refrigerants are based only on their HFC and PFC constituents, which are based on data from https://www.epa.gov/snap/compositions-refrigerant-blends.</t>
  </si>
  <si>
    <t xml:space="preserve">GHG Emission Factors Hub | US EPA</t>
  </si>
  <si>
    <t xml:space="preserve">🌍  CARBON FOOTPRINT EXECUTIVE DASHBOARD</t>
  </si>
  <si>
    <t xml:space="preserve">GHG Protocol Framework  ·  All figures link live to Scope 1, 2, 3 &amp; Assumptions sheets</t>
  </si>
  <si>
    <t xml:space="preserve">SCOPE 1  DIRECT</t>
  </si>
  <si>
    <t xml:space="preserve">SCOPE 2  MARKET-BASED</t>
  </si>
  <si>
    <t xml:space="preserve">SCOPE 3  VALUE CHAIN</t>
  </si>
  <si>
    <t xml:space="preserve">TOTAL  S1 + S2 + S3</t>
  </si>
  <si>
    <t xml:space="preserve">Combustion · Fleet · Fugitive</t>
  </si>
  <si>
    <t xml:space="preserve">Purchased electricity (primary)</t>
  </si>
  <si>
    <t xml:space="preserve">Upstream &amp; downstream emissions</t>
  </si>
  <si>
    <t xml:space="preserve">Combined GHG inventory</t>
  </si>
  <si>
    <t xml:space="preserve">  📊  SCOPE BREAKDOWN  —  Linked live from Summary &amp; Intensity sheet</t>
  </si>
  <si>
    <t xml:space="preserve">% of Total</t>
  </si>
  <si>
    <t xml:space="preserve">Location-Based</t>
  </si>
  <si>
    <t xml:space="preserve">Mkt-Based</t>
  </si>
  <si>
    <t xml:space="preserve">Status</t>
  </si>
  <si>
    <t xml:space="preserve">Direct Emissions</t>
  </si>
  <si>
    <t xml:space="preserve">—</t>
  </si>
  <si>
    <t xml:space="preserve">🟡 Input needed</t>
  </si>
  <si>
    <t xml:space="preserve">Scope 2</t>
  </si>
  <si>
    <t xml:space="preserve">Purchased Energy</t>
  </si>
  <si>
    <t xml:space="preserve">Value Chain Emissions</t>
  </si>
  <si>
    <t xml:space="preserve">TOTAL (S1+S2+S3)</t>
  </si>
  <si>
    <t xml:space="preserve">Combined Inventory</t>
  </si>
  <si>
    <t xml:space="preserve">✅ Calculated</t>
  </si>
  <si>
    <t xml:space="preserve">  🎯  REDUCTION TARGETS  —  Linked live from Trend Analysis sheet</t>
  </si>
  <si>
    <t xml:space="preserve">Baseline (tCO₂e)</t>
  </si>
  <si>
    <t xml:space="preserve">% Required</t>
  </si>
  <si>
    <t xml:space="preserve">Target (tCO₂e)</t>
  </si>
  <si>
    <t xml:space="preserve">Annual Reduction</t>
  </si>
  <si>
    <t xml:space="preserve">Type</t>
  </si>
  <si>
    <t xml:space="preserve">  📐  CARBON INTENSITY RATIOS  —  Linked live from Summary &amp; Intensity sheet</t>
  </si>
  <si>
    <t xml:space="preserve">Current Year</t>
  </si>
  <si>
    <t xml:space="preserve">Prior Year</t>
  </si>
  <si>
    <t xml:space="preserve">Industry Benchmark</t>
  </si>
  <si>
    <t xml:space="preserve">vs Benchmark</t>
  </si>
  <si>
    <t xml:space="preserve">tCO₂e/$M</t>
  </si>
  <si>
    <t xml:space="preserve">tCO₂e / FTE</t>
  </si>
  <si>
    <t xml:space="preserve">tCO₂e/FTE</t>
  </si>
  <si>
    <t xml:space="preserve">RECs / Total elec.</t>
  </si>
  <si>
    <t xml:space="preserve">Scope 1 Intensity</t>
  </si>
  <si>
    <t xml:space="preserve">S1 / $M revenue</t>
  </si>
  <si>
    <t xml:space="preserve">Scope 2 MB Intensity</t>
  </si>
  <si>
    <t xml:space="preserve">S2MB / $M revenue</t>
  </si>
  <si>
    <t xml:space="preserve">Scope 3 Intensity</t>
  </si>
  <si>
    <t xml:space="preserve">S3 / $M revenue</t>
  </si>
  <si>
    <t xml:space="preserve">  ⚙️  COMPANY INFORMATION  —  Linked live from Assumptions sheet</t>
  </si>
  <si>
    <t xml:space="preserve">Field</t>
  </si>
  <si>
    <t xml:space="preserve">Value</t>
  </si>
  <si>
    <t xml:space="preserve">Country of Operations</t>
  </si>
  <si>
    <t xml:space="preserve">Annual Revenue ($M)</t>
  </si>
  <si>
    <t xml:space="preserve">Required for intensity ratios</t>
  </si>
  <si>
    <t xml:space="preserve">Employees (FTE)</t>
  </si>
  <si>
    <t xml:space="preserve">All KPIs update automatically when activity data is entered in Scope 1, 2, 3 and Assumptions sheets  ·  GHG Protocol Corporate Standard</t>
  </si>
</sst>
</file>

<file path=xl/styles.xml><?xml version="1.0" encoding="utf-8"?>
<styleSheet xmlns="http://schemas.openxmlformats.org/spreadsheetml/2006/main">
  <numFmts count="24">
    <numFmt numFmtId="164" formatCode="General"/>
    <numFmt numFmtId="165" formatCode="#,##0"/>
    <numFmt numFmtId="166" formatCode="\$#,##0.00_);[RED]&quot;($&quot;#,##0.00\)"/>
    <numFmt numFmtId="167" formatCode="#,##0.000"/>
    <numFmt numFmtId="168" formatCode="#,##0.00"/>
    <numFmt numFmtId="169" formatCode="#,##0.0"/>
    <numFmt numFmtId="170" formatCode="0.000"/>
    <numFmt numFmtId="171" formatCode="0.0%"/>
    <numFmt numFmtId="172" formatCode="General"/>
    <numFmt numFmtId="173" formatCode="_(* #,##0.00_);_(* \(#,##0.00\);_(* \-??_);_(@_)"/>
    <numFmt numFmtId="174" formatCode="_(* #,##0_);_(* \(#,##0\);_(* \-??_);_(@_)"/>
    <numFmt numFmtId="175" formatCode="_(* #,##0.0_);_(* \(#,##0.0\);_(* \-??_);_(@_)"/>
    <numFmt numFmtId="176" formatCode="_(* #,##0.000_);_(* \(#,##0.000\);_(* \-??_);_(@_)"/>
    <numFmt numFmtId="177" formatCode="0.0E+00"/>
    <numFmt numFmtId="178" formatCode="_(* #,##0.000000_);_(* \(#,##0.000000\);_(* \-??_);_(@_)"/>
    <numFmt numFmtId="179" formatCode="_(* #,##0.00000_);_(* \(#,##0.00000\);_(* \-??_);_(@_)"/>
    <numFmt numFmtId="180" formatCode="_(* #,##0.0000_);_(* \(#,##0.0000\);_(* \-??_);_(@_)"/>
    <numFmt numFmtId="181" formatCode="0.00%"/>
    <numFmt numFmtId="182" formatCode="0.00E+00"/>
    <numFmt numFmtId="183" formatCode="0.00"/>
    <numFmt numFmtId="184" formatCode="0"/>
    <numFmt numFmtId="185" formatCode="0.0000"/>
    <numFmt numFmtId="186" formatCode="General_)"/>
    <numFmt numFmtId="187" formatCode="_(* #,##0_);_(* \(#,##0\);_(@_)"/>
  </numFmts>
  <fonts count="101">
    <font>
      <sz val="11"/>
      <color theme="1"/>
      <name val="Calibri"/>
      <family val="2"/>
      <charset val="1"/>
    </font>
    <font>
      <sz val="10"/>
      <name val="Arial"/>
      <family val="0"/>
    </font>
    <font>
      <sz val="10"/>
      <name val="Arial"/>
      <family val="0"/>
    </font>
    <font>
      <sz val="10"/>
      <name val="Arial"/>
      <family val="0"/>
    </font>
    <font>
      <sz val="10"/>
      <name val="Verdana"/>
      <family val="2"/>
      <charset val="1"/>
    </font>
    <font>
      <b val="true"/>
      <sz val="14"/>
      <color rgb="FFFFFFFF"/>
      <name val="Arial"/>
      <family val="2"/>
      <charset val="1"/>
    </font>
    <font>
      <b val="true"/>
      <sz val="9"/>
      <color rgb="FFFFFFFF"/>
      <name val="Arial"/>
      <family val="2"/>
      <charset val="1"/>
    </font>
    <font>
      <b val="true"/>
      <sz val="10"/>
      <color rgb="FFFFFFFF"/>
      <name val="Arial"/>
      <family val="2"/>
      <charset val="1"/>
    </font>
    <font>
      <b val="true"/>
      <sz val="10"/>
      <color rgb="FF1A3D2B"/>
      <name val="Arial"/>
      <family val="2"/>
      <charset val="1"/>
    </font>
    <font>
      <sz val="10"/>
      <color rgb="FF0000FF"/>
      <name val="Arial"/>
      <family val="2"/>
      <charset val="1"/>
    </font>
    <font>
      <i val="true"/>
      <sz val="8"/>
      <color rgb="FF5A6B72"/>
      <name val="Arial"/>
      <family val="2"/>
      <charset val="1"/>
    </font>
    <font>
      <sz val="9"/>
      <color rgb="FF5A6B72"/>
      <name val="Arial"/>
      <family val="2"/>
      <charset val="1"/>
    </font>
    <font>
      <i val="true"/>
      <sz val="9"/>
      <color rgb="FF1565C0"/>
      <name val="Arial"/>
      <family val="2"/>
      <charset val="1"/>
    </font>
    <font>
      <b val="true"/>
      <sz val="9"/>
      <color rgb="FF0F1A14"/>
      <name val="Arial"/>
      <family val="2"/>
      <charset val="1"/>
    </font>
    <font>
      <sz val="9"/>
      <color rgb="FF0F1A14"/>
      <name val="Arial"/>
      <family val="2"/>
      <charset val="1"/>
    </font>
    <font>
      <b val="true"/>
      <sz val="10"/>
      <color rgb="FF1A3557"/>
      <name val="Calibri"/>
      <family val="2"/>
      <charset val="1"/>
    </font>
    <font>
      <b val="true"/>
      <sz val="11"/>
      <color theme="1"/>
      <name val="Calibri"/>
      <family val="2"/>
      <charset val="1"/>
    </font>
    <font>
      <b val="true"/>
      <sz val="8"/>
      <color rgb="FFFFFFFF"/>
      <name val="Arial"/>
      <family val="2"/>
      <charset val="1"/>
    </font>
    <font>
      <u val="single"/>
      <sz val="11"/>
      <color theme="10"/>
      <name val="Calibri"/>
      <family val="2"/>
      <charset val="1"/>
    </font>
    <font>
      <b val="true"/>
      <sz val="13"/>
      <color rgb="FFFFFFFF"/>
      <name val="Arial"/>
      <family val="2"/>
      <charset val="1"/>
    </font>
    <font>
      <b val="true"/>
      <sz val="9"/>
      <color rgb="FF1B5E20"/>
      <name val="Arial"/>
      <family val="2"/>
      <charset val="1"/>
    </font>
    <font>
      <sz val="10"/>
      <color rgb="FF0F1A14"/>
      <name val="Arial"/>
      <family val="2"/>
      <charset val="1"/>
    </font>
    <font>
      <b val="true"/>
      <sz val="10"/>
      <color rgb="FF0F1A14"/>
      <name val="Arial"/>
      <family val="2"/>
      <charset val="1"/>
    </font>
    <font>
      <b val="true"/>
      <sz val="9"/>
      <color rgb="FF2E7D32"/>
      <name val="Arial"/>
      <family val="2"/>
      <charset val="1"/>
    </font>
    <font>
      <b val="true"/>
      <sz val="9"/>
      <color rgb="FF388E3C"/>
      <name val="Arial"/>
      <family val="2"/>
      <charset val="1"/>
    </font>
    <font>
      <sz val="8"/>
      <color theme="1"/>
      <name val="Calibri"/>
      <family val="2"/>
      <charset val="1"/>
    </font>
    <font>
      <i val="true"/>
      <sz val="8"/>
      <color rgb="FF1565C0"/>
      <name val="Arial"/>
      <family val="2"/>
      <charset val="1"/>
    </font>
    <font>
      <sz val="8"/>
      <color rgb="FF0F1A14"/>
      <name val="Arial"/>
      <family val="2"/>
      <charset val="1"/>
    </font>
    <font>
      <b val="true"/>
      <sz val="9"/>
      <color rgb="FF1565C0"/>
      <name val="Arial"/>
      <family val="2"/>
      <charset val="1"/>
    </font>
    <font>
      <b val="true"/>
      <sz val="9"/>
      <color rgb="FF283593"/>
      <name val="Arial"/>
      <family val="2"/>
      <charset val="1"/>
    </font>
    <font>
      <b val="true"/>
      <sz val="12"/>
      <color rgb="FFFFFFFF"/>
      <name val="Arial"/>
      <family val="2"/>
      <charset val="1"/>
    </font>
    <font>
      <b val="true"/>
      <sz val="7"/>
      <color rgb="FFFFFFFF"/>
      <name val="Arial"/>
      <family val="2"/>
      <charset val="1"/>
    </font>
    <font>
      <b val="true"/>
      <sz val="9"/>
      <color rgb="FF6A1B9A"/>
      <name val="Arial"/>
      <family val="2"/>
      <charset val="1"/>
    </font>
    <font>
      <sz val="8"/>
      <color rgb="FF5A6B72"/>
      <name val="Arial"/>
      <family val="2"/>
      <charset val="1"/>
    </font>
    <font>
      <sz val="8"/>
      <color rgb="FF0000FF"/>
      <name val="Arial"/>
      <family val="2"/>
      <charset val="1"/>
    </font>
    <font>
      <b val="true"/>
      <sz val="9"/>
      <color rgb="FF7B1FA2"/>
      <name val="Arial"/>
      <family val="2"/>
      <charset val="1"/>
    </font>
    <font>
      <sz val="10"/>
      <color rgb="FF007700"/>
      <name val="Arial"/>
      <family val="2"/>
      <charset val="1"/>
    </font>
    <font>
      <b val="true"/>
      <sz val="9"/>
      <color rgb="FF4A148C"/>
      <name val="Arial"/>
      <family val="2"/>
      <charset val="1"/>
    </font>
    <font>
      <sz val="9"/>
      <name val="Arial"/>
      <family val="2"/>
      <charset val="1"/>
    </font>
    <font>
      <sz val="10"/>
      <name val="Arial"/>
      <family val="2"/>
      <charset val="1"/>
    </font>
    <font>
      <b val="true"/>
      <sz val="10"/>
      <color rgb="FF007700"/>
      <name val="Arial"/>
      <family val="2"/>
      <charset val="1"/>
    </font>
    <font>
      <b val="true"/>
      <sz val="11"/>
      <color rgb="FFFFFFFF"/>
      <name val="Arial"/>
      <family val="2"/>
      <charset val="1"/>
    </font>
    <font>
      <sz val="10"/>
      <name val="Arial"/>
      <family val="2"/>
    </font>
    <font>
      <b val="true"/>
      <sz val="9"/>
      <color rgb="FF1A3D2B"/>
      <name val="Arial"/>
      <family val="2"/>
      <charset val="1"/>
    </font>
    <font>
      <b val="true"/>
      <sz val="10"/>
      <color rgb="FF0000FF"/>
      <name val="Arial"/>
      <family val="2"/>
      <charset val="1"/>
    </font>
    <font>
      <sz val="9"/>
      <color rgb="FF0000FF"/>
      <name val="Arial"/>
      <family val="2"/>
      <charset val="1"/>
    </font>
    <font>
      <i val="true"/>
      <sz val="10"/>
      <color rgb="FF1565C0"/>
      <name val="Arial"/>
      <family val="2"/>
      <charset val="1"/>
    </font>
    <font>
      <b val="true"/>
      <sz val="22"/>
      <color rgb="FFFFFFFF"/>
      <name val="Calibri"/>
      <family val="2"/>
      <charset val="1"/>
    </font>
    <font>
      <sz val="10"/>
      <color rgb="FFA8C4E0"/>
      <name val="Calibri"/>
      <family val="2"/>
      <charset val="1"/>
    </font>
    <font>
      <b val="true"/>
      <sz val="11"/>
      <color rgb="FFFFFFFF"/>
      <name val="Calibri"/>
      <family val="2"/>
      <charset val="1"/>
    </font>
    <font>
      <b val="true"/>
      <sz val="9"/>
      <color rgb="FF7D6608"/>
      <name val="Calibri"/>
      <family val="2"/>
      <charset val="1"/>
    </font>
    <font>
      <b val="true"/>
      <sz val="9"/>
      <color rgb="FF1A5276"/>
      <name val="Calibri"/>
      <family val="2"/>
      <charset val="1"/>
    </font>
    <font>
      <i val="true"/>
      <sz val="9"/>
      <color rgb="FF5D6D7E"/>
      <name val="Calibri"/>
      <family val="2"/>
      <charset val="1"/>
    </font>
    <font>
      <b val="true"/>
      <sz val="10"/>
      <color rgb="FFE67E22"/>
      <name val="Calibri"/>
      <family val="2"/>
      <charset val="1"/>
    </font>
    <font>
      <sz val="10"/>
      <color rgb="FF1A1A2E"/>
      <name val="Calibri"/>
      <family val="2"/>
      <charset val="1"/>
    </font>
    <font>
      <b val="true"/>
      <sz val="10"/>
      <color rgb="FFA8D08D"/>
      <name val="Calibri"/>
      <family val="2"/>
      <charset val="1"/>
    </font>
    <font>
      <b val="true"/>
      <sz val="10"/>
      <color rgb="FF2980B9"/>
      <name val="Calibri"/>
      <family val="2"/>
      <charset val="1"/>
    </font>
    <font>
      <sz val="10"/>
      <color rgb="FF27AE60"/>
      <name val="Calibri"/>
      <family val="2"/>
      <charset val="1"/>
    </font>
    <font>
      <sz val="10"/>
      <color theme="1" tint="0.0499"/>
      <name val="Calibri"/>
      <family val="2"/>
      <charset val="1"/>
    </font>
    <font>
      <sz val="10"/>
      <color rgb="FF2980B9"/>
      <name val="Calibri"/>
      <family val="2"/>
      <charset val="1"/>
    </font>
    <font>
      <b val="true"/>
      <sz val="9"/>
      <color rgb="FF7030A0"/>
      <name val="Arial"/>
      <family val="2"/>
      <charset val="1"/>
    </font>
    <font>
      <sz val="10"/>
      <color rgb="FFC0392B"/>
      <name val="Calibri"/>
      <family val="2"/>
      <charset val="1"/>
    </font>
    <font>
      <sz val="10"/>
      <color rgb="FF5D6D7E"/>
      <name val="Calibri"/>
      <family val="2"/>
      <charset val="1"/>
    </font>
    <font>
      <i val="true"/>
      <sz val="8.5"/>
      <color rgb="FF5D6D7E"/>
      <name val="Calibri"/>
      <family val="2"/>
      <charset val="1"/>
    </font>
    <font>
      <b val="true"/>
      <sz val="18"/>
      <color rgb="FF808080"/>
      <name val="Calibri"/>
      <family val="2"/>
    </font>
    <font>
      <sz val="9"/>
      <color rgb="FF404040"/>
      <name val="Calibri"/>
      <family val="2"/>
    </font>
    <font>
      <sz val="9"/>
      <color rgb="FF595959"/>
      <name val="Calibri"/>
      <family val="2"/>
    </font>
    <font>
      <sz val="9"/>
      <color rgb="FFFFFFFF"/>
      <name val="Arial"/>
      <family val="2"/>
      <charset val="1"/>
    </font>
    <font>
      <b val="true"/>
      <sz val="16"/>
      <name val="Arial"/>
      <family val="2"/>
      <charset val="1"/>
    </font>
    <font>
      <sz val="10"/>
      <color rgb="FFFF0000"/>
      <name val="Arial"/>
      <family val="2"/>
      <charset val="1"/>
    </font>
    <font>
      <b val="true"/>
      <sz val="14"/>
      <color rgb="FF0070C0"/>
      <name val="Arial"/>
      <family val="2"/>
      <charset val="1"/>
    </font>
    <font>
      <b val="true"/>
      <sz val="10"/>
      <name val="Arial"/>
      <family val="2"/>
      <charset val="1"/>
    </font>
    <font>
      <sz val="10"/>
      <color rgb="FF0070C0"/>
      <name val="Arial"/>
      <family val="2"/>
      <charset val="1"/>
    </font>
    <font>
      <b val="true"/>
      <sz val="12"/>
      <name val="Arial"/>
      <family val="2"/>
      <charset val="1"/>
    </font>
    <font>
      <b val="true"/>
      <sz val="9"/>
      <name val="Arial"/>
      <family val="2"/>
      <charset val="1"/>
    </font>
    <font>
      <b val="true"/>
      <sz val="10"/>
      <color theme="5"/>
      <name val="Arial"/>
      <family val="2"/>
      <charset val="1"/>
    </font>
    <font>
      <u val="single"/>
      <sz val="10"/>
      <name val="Arial"/>
      <family val="2"/>
      <charset val="1"/>
    </font>
    <font>
      <u val="single"/>
      <sz val="9"/>
      <color rgb="FF0000FF"/>
      <name val="Arial"/>
      <family val="2"/>
      <charset val="1"/>
    </font>
    <font>
      <u val="single"/>
      <sz val="9"/>
      <name val="Arial"/>
      <family val="2"/>
      <charset val="1"/>
    </font>
    <font>
      <b val="true"/>
      <sz val="10"/>
      <color rgb="FFFF0000"/>
      <name val="Arial"/>
      <family val="2"/>
      <charset val="1"/>
    </font>
    <font>
      <sz val="10"/>
      <color rgb="FF00B050"/>
      <name val="Arial"/>
      <family val="2"/>
      <charset val="1"/>
    </font>
    <font>
      <sz val="9"/>
      <color rgb="FFFF0000"/>
      <name val="Arial"/>
      <family val="2"/>
      <charset val="1"/>
    </font>
    <font>
      <sz val="10"/>
      <color rgb="FFFF0000"/>
      <name val="Verdana"/>
      <family val="2"/>
      <charset val="1"/>
    </font>
    <font>
      <sz val="10"/>
      <color rgb="FF00B0F0"/>
      <name val="Arial"/>
      <family val="2"/>
      <charset val="1"/>
    </font>
    <font>
      <sz val="10"/>
      <color theme="1"/>
      <name val="Arial"/>
      <family val="2"/>
      <charset val="1"/>
    </font>
    <font>
      <sz val="10"/>
      <color rgb="FF000000"/>
      <name val="Arial"/>
      <family val="2"/>
      <charset val="1"/>
    </font>
    <font>
      <sz val="8"/>
      <name val="Arial"/>
      <family val="2"/>
      <charset val="1"/>
    </font>
    <font>
      <b val="true"/>
      <sz val="9"/>
      <color rgb="FF27AE60"/>
      <name val="Calibri"/>
      <family val="2"/>
      <charset val="1"/>
    </font>
    <font>
      <b val="true"/>
      <sz val="9"/>
      <color rgb="FF2980B9"/>
      <name val="Calibri"/>
      <family val="2"/>
      <charset val="1"/>
    </font>
    <font>
      <b val="true"/>
      <sz val="9"/>
      <color rgb="FFC0392B"/>
      <name val="Calibri"/>
      <family val="2"/>
      <charset val="1"/>
    </font>
    <font>
      <b val="true"/>
      <sz val="9"/>
      <color rgb="FF6C3483"/>
      <name val="Calibri"/>
      <family val="2"/>
      <charset val="1"/>
    </font>
    <font>
      <b val="true"/>
      <sz val="20"/>
      <color rgb="FF1A3557"/>
      <name val="Calibri"/>
      <family val="2"/>
      <charset val="1"/>
    </font>
    <font>
      <sz val="10"/>
      <color rgb="FF6C3483"/>
      <name val="Calibri"/>
      <family val="2"/>
      <charset val="1"/>
    </font>
    <font>
      <i val="true"/>
      <sz val="8"/>
      <color rgb="FF5D6D7E"/>
      <name val="Calibri"/>
      <family val="2"/>
      <charset val="1"/>
    </font>
    <font>
      <b val="true"/>
      <sz val="10"/>
      <color rgb="FF27AE60"/>
      <name val="Calibri"/>
      <family val="2"/>
      <charset val="1"/>
    </font>
    <font>
      <sz val="10"/>
      <color rgb="FF1A3557"/>
      <name val="Calibri"/>
      <family val="2"/>
      <charset val="1"/>
    </font>
    <font>
      <sz val="10"/>
      <color rgb="FFD68910"/>
      <name val="Calibri"/>
      <family val="2"/>
      <charset val="1"/>
    </font>
    <font>
      <b val="true"/>
      <sz val="10"/>
      <color rgb="FFC0392B"/>
      <name val="Calibri"/>
      <family val="2"/>
      <charset val="1"/>
    </font>
    <font>
      <b val="true"/>
      <sz val="10"/>
      <color rgb="FF6C3483"/>
      <name val="Calibri"/>
      <family val="2"/>
      <charset val="1"/>
    </font>
    <font>
      <sz val="10"/>
      <color rgb="FF2E5FA3"/>
      <name val="Calibri"/>
      <family val="2"/>
      <charset val="1"/>
    </font>
    <font>
      <b val="true"/>
      <sz val="10"/>
      <color rgb="FFD68910"/>
      <name val="Calibri"/>
      <family val="2"/>
      <charset val="1"/>
    </font>
  </fonts>
  <fills count="36">
    <fill>
      <patternFill patternType="none"/>
    </fill>
    <fill>
      <patternFill patternType="gray125"/>
    </fill>
    <fill>
      <patternFill patternType="solid">
        <fgColor rgb="FF1A3D2B"/>
        <bgColor rgb="FF1A3557"/>
      </patternFill>
    </fill>
    <fill>
      <patternFill patternType="solid">
        <fgColor rgb="FF4A7C59"/>
        <bgColor rgb="FF388E3C"/>
      </patternFill>
    </fill>
    <fill>
      <patternFill patternType="solid">
        <fgColor rgb="FFFFFFFF"/>
        <bgColor rgb="FFFFFDE7"/>
      </patternFill>
    </fill>
    <fill>
      <patternFill patternType="solid">
        <fgColor rgb="FFFFF9E6"/>
        <bgColor rgb="FFFFFDE7"/>
      </patternFill>
    </fill>
    <fill>
      <patternFill patternType="solid">
        <fgColor rgb="FFDFF0E5"/>
        <bgColor rgb="FFE8F5E9"/>
      </patternFill>
    </fill>
    <fill>
      <patternFill patternType="solid">
        <fgColor rgb="FF1B5E20"/>
        <bgColor rgb="FF1A3D2B"/>
      </patternFill>
    </fill>
    <fill>
      <patternFill patternType="solid">
        <fgColor rgb="FFF5F5F5"/>
        <bgColor rgb="FFF5F7FA"/>
      </patternFill>
    </fill>
    <fill>
      <patternFill patternType="solid">
        <fgColor rgb="FF2E7D32"/>
        <bgColor rgb="FF388E3C"/>
      </patternFill>
    </fill>
    <fill>
      <patternFill patternType="solid">
        <fgColor rgb="FF1565C0"/>
        <bgColor rgb="FF0070C0"/>
      </patternFill>
    </fill>
    <fill>
      <patternFill patternType="solid">
        <fgColor rgb="FFBBDEFB"/>
        <bgColor rgb="FFCDD5DF"/>
      </patternFill>
    </fill>
    <fill>
      <patternFill patternType="solid">
        <fgColor rgb="FFEBF0F8"/>
        <bgColor rgb="FFEBF5FB"/>
      </patternFill>
    </fill>
    <fill>
      <patternFill patternType="solid">
        <fgColor rgb="FFC8E6C9"/>
        <bgColor rgb="FFD6E4F0"/>
      </patternFill>
    </fill>
    <fill>
      <patternFill patternType="solid">
        <fgColor rgb="FF388E3C"/>
        <bgColor rgb="FF2E7D32"/>
      </patternFill>
    </fill>
    <fill>
      <patternFill patternType="solid">
        <fgColor rgb="FF1A237E"/>
        <bgColor rgb="FF283593"/>
      </patternFill>
    </fill>
    <fill>
      <patternFill patternType="solid">
        <fgColor rgb="FF283593"/>
        <bgColor rgb="FF1A237E"/>
      </patternFill>
    </fill>
    <fill>
      <patternFill patternType="solid">
        <fgColor rgb="FF6A1B9A"/>
        <bgColor rgb="FF7B1FA2"/>
      </patternFill>
    </fill>
    <fill>
      <patternFill patternType="solid">
        <fgColor rgb="FFE8F5E9"/>
        <bgColor rgb="FFEBF5FB"/>
      </patternFill>
    </fill>
    <fill>
      <patternFill patternType="solid">
        <fgColor rgb="FFE3F2FD"/>
        <bgColor rgb="FFEBF0F8"/>
      </patternFill>
    </fill>
    <fill>
      <patternFill patternType="solid">
        <fgColor rgb="FFFF0000"/>
        <bgColor rgb="FFC0392B"/>
      </patternFill>
    </fill>
    <fill>
      <patternFill patternType="solid">
        <fgColor rgb="FFE1BEE7"/>
        <bgColor rgb="FFD0D0D0"/>
      </patternFill>
    </fill>
    <fill>
      <patternFill patternType="solid">
        <fgColor rgb="FF7B1FA2"/>
        <bgColor rgb="FF6A1B9A"/>
      </patternFill>
    </fill>
    <fill>
      <patternFill patternType="solid">
        <fgColor rgb="FF4A148C"/>
        <bgColor rgb="FF6A1B9A"/>
      </patternFill>
    </fill>
    <fill>
      <patternFill patternType="solid">
        <fgColor rgb="FF880E4F"/>
        <bgColor rgb="FF7B1FA2"/>
      </patternFill>
    </fill>
    <fill>
      <patternFill patternType="solid">
        <fgColor rgb="FFD6E4F0"/>
        <bgColor rgb="FFDFF0E5"/>
      </patternFill>
    </fill>
    <fill>
      <patternFill patternType="solid">
        <fgColor rgb="FFFFFFE5"/>
        <bgColor rgb="FFFFFDE7"/>
      </patternFill>
    </fill>
    <fill>
      <patternFill patternType="solid">
        <fgColor rgb="FFEBEAF6"/>
        <bgColor rgb="FFEBF0F8"/>
      </patternFill>
    </fill>
    <fill>
      <patternFill patternType="solid">
        <fgColor rgb="FFF27F1A"/>
        <bgColor rgb="FFD68910"/>
      </patternFill>
    </fill>
    <fill>
      <patternFill patternType="solid">
        <fgColor rgb="FFFFFDE7"/>
        <bgColor rgb="FFFFFFE5"/>
      </patternFill>
    </fill>
    <fill>
      <patternFill patternType="solid">
        <fgColor rgb="FFF5F7FA"/>
        <bgColor rgb="FFF5F5F5"/>
      </patternFill>
    </fill>
    <fill>
      <patternFill patternType="solid">
        <fgColor rgb="FF1A3557"/>
        <bgColor rgb="FF1A3D2B"/>
      </patternFill>
    </fill>
    <fill>
      <patternFill patternType="solid">
        <fgColor rgb="FF225C96"/>
        <bgColor rgb="FF1565C0"/>
      </patternFill>
    </fill>
    <fill>
      <patternFill patternType="solid">
        <fgColor theme="9" tint="0.7999"/>
        <bgColor rgb="FFFFF9E6"/>
      </patternFill>
    </fill>
    <fill>
      <patternFill patternType="solid">
        <fgColor rgb="FFF0F4FA"/>
        <bgColor rgb="FFEBF5FB"/>
      </patternFill>
    </fill>
    <fill>
      <patternFill patternType="solid">
        <fgColor rgb="FFEBF5FB"/>
        <bgColor rgb="FFF0F4FA"/>
      </patternFill>
    </fill>
  </fills>
  <borders count="90">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 diagonalUp="false" diagonalDown="false">
      <left style="thin">
        <color rgb="FFD0D0D0"/>
      </left>
      <right style="thin">
        <color rgb="FFD0D0D0"/>
      </right>
      <top style="thin">
        <color rgb="FFD0D0D0"/>
      </top>
      <bottom/>
      <diagonal/>
    </border>
    <border diagonalUp="false" diagonalDown="false">
      <left style="thin">
        <color rgb="FFCDD5DF"/>
      </left>
      <right style="thin">
        <color rgb="FFCDD5DF"/>
      </right>
      <top style="thin">
        <color rgb="FFCDD5DF"/>
      </top>
      <bottom/>
      <diagonal/>
    </border>
    <border diagonalUp="false" diagonalDown="false">
      <left style="thin">
        <color rgb="FFD0D0D0"/>
      </left>
      <right style="thin">
        <color rgb="FFD0D0D0"/>
      </right>
      <top/>
      <bottom/>
      <diagonal/>
    </border>
    <border diagonalUp="false" diagonalDown="false">
      <left style="thin">
        <color rgb="FFD0D0D0"/>
      </left>
      <right/>
      <top style="thin">
        <color rgb="FFD0D0D0"/>
      </top>
      <bottom style="thin">
        <color rgb="FFD0D0D0"/>
      </bottom>
      <diagonal/>
    </border>
    <border diagonalUp="false" diagonalDown="false">
      <left style="medium"/>
      <right style="thin">
        <color rgb="FFD0D0D0"/>
      </right>
      <top style="medium"/>
      <bottom style="medium"/>
      <diagonal/>
    </border>
    <border diagonalUp="false" diagonalDown="false">
      <left style="thin">
        <color rgb="FFD0D0D0"/>
      </left>
      <right style="thin">
        <color rgb="FFD0D0D0"/>
      </right>
      <top style="medium"/>
      <bottom style="medium"/>
      <diagonal/>
    </border>
    <border diagonalUp="false" diagonalDown="false">
      <left style="thin">
        <color rgb="FFD0D0D0"/>
      </left>
      <right style="medium"/>
      <top style="medium"/>
      <bottom style="medium"/>
      <diagonal/>
    </border>
    <border diagonalUp="false" diagonalDown="false">
      <left/>
      <right style="thin">
        <color rgb="FFD0D0D0"/>
      </right>
      <top style="medium"/>
      <bottom style="medium"/>
      <diagonal/>
    </border>
    <border diagonalUp="false" diagonalDown="false">
      <left/>
      <right style="thin">
        <color rgb="FFD0D0D0"/>
      </right>
      <top style="thin">
        <color rgb="FFD0D0D0"/>
      </top>
      <bottom style="thin">
        <color rgb="FFD0D0D0"/>
      </bottom>
      <diagonal/>
    </border>
    <border diagonalUp="false" diagonalDown="false">
      <left style="thin">
        <color rgb="FFD0D0D0"/>
      </left>
      <right style="thin">
        <color rgb="FFD0D0D0"/>
      </right>
      <top/>
      <bottom style="thin">
        <color rgb="FFD0D0D0"/>
      </bottom>
      <diagonal/>
    </border>
    <border diagonalUp="false" diagonalDown="false">
      <left style="thin">
        <color rgb="FFB8C1D4"/>
      </left>
      <right style="thin">
        <color rgb="FFB8C1D4"/>
      </right>
      <top style="thin">
        <color rgb="FFB8C1D4"/>
      </top>
      <bottom style="thin">
        <color rgb="FFB8C1D4"/>
      </bottom>
      <diagonal/>
    </border>
    <border diagonalUp="false" diagonalDown="false">
      <left style="thin">
        <color rgb="FFCDD5DF"/>
      </left>
      <right style="thin">
        <color rgb="FFCDD5DF"/>
      </right>
      <top style="thin">
        <color rgb="FFCDD5DF"/>
      </top>
      <bottom style="thin">
        <color rgb="FFCDD5DF"/>
      </bottom>
      <diagonal/>
    </border>
    <border diagonalUp="false" diagonalDown="false">
      <left/>
      <right style="thin">
        <color rgb="FFCDD5DF"/>
      </right>
      <top style="thin">
        <color rgb="FFCDD5DF"/>
      </top>
      <bottom style="thin">
        <color rgb="FFCDD5DF"/>
      </bottom>
      <diagonal/>
    </border>
    <border diagonalUp="false" diagonalDown="false">
      <left style="thick">
        <color rgb="FFF27F1A"/>
      </left>
      <right style="thin">
        <color rgb="FFCDD5DF"/>
      </right>
      <top style="thin">
        <color rgb="FFCDD5DF"/>
      </top>
      <bottom style="thin">
        <color rgb="FFCDD5DF"/>
      </bottom>
      <diagonal/>
    </border>
    <border diagonalUp="false" diagonalDown="false">
      <left style="thick">
        <color rgb="FFA3CB78"/>
      </left>
      <right style="thin">
        <color rgb="FFCDD5DF"/>
      </right>
      <top style="thin">
        <color rgb="FFCDD5DF"/>
      </top>
      <bottom style="thin">
        <color rgb="FFCDD5DF"/>
      </bottom>
      <diagonal/>
    </border>
    <border diagonalUp="false" diagonalDown="false">
      <left style="thick">
        <color rgb="FF01A5EF"/>
      </left>
      <right style="thin">
        <color rgb="FFCDD5DF"/>
      </right>
      <top style="thin">
        <color rgb="FFCDD5DF"/>
      </top>
      <bottom style="thin">
        <color rgb="FFCDD5DF"/>
      </bottom>
      <diagonal/>
    </border>
    <border diagonalUp="false" diagonalDown="false">
      <left/>
      <right/>
      <top/>
      <bottom style="thin">
        <color rgb="FFCDD5DF"/>
      </bottom>
      <diagonal/>
    </border>
    <border diagonalUp="false" diagonalDown="false">
      <left style="thick">
        <color rgb="FF01B054"/>
      </left>
      <right style="thin">
        <color rgb="FFCDD5DF"/>
      </right>
      <top style="thin">
        <color rgb="FFCDD5DF"/>
      </top>
      <bottom style="thin">
        <color rgb="FFCDD5DF"/>
      </bottom>
      <diagonal/>
    </border>
    <border diagonalUp="false" diagonalDown="false">
      <left style="thick">
        <color rgb="FFC0392B"/>
      </left>
      <right style="thin">
        <color rgb="FFCDD5DF"/>
      </right>
      <top style="thin">
        <color rgb="FFCDD5DF"/>
      </top>
      <bottom style="thin">
        <color rgb="FFCDD5DF"/>
      </bottom>
      <diagonal/>
    </border>
    <border diagonalUp="false" diagonalDown="false">
      <left style="thick">
        <color rgb="FF1A3557"/>
      </left>
      <right style="thin">
        <color rgb="FFCDD5DF"/>
      </right>
      <top style="thin">
        <color rgb="FFCDD5DF"/>
      </top>
      <bottom style="thin">
        <color rgb="FFCDD5DF"/>
      </bottom>
      <diagonal/>
    </border>
    <border diagonalUp="false" diagonalDown="false">
      <left style="thin">
        <color rgb="FFBBDEFB"/>
      </left>
      <right style="thin">
        <color rgb="FFBBDEFB"/>
      </right>
      <top style="thin">
        <color rgb="FFBBDEFB"/>
      </top>
      <bottom style="thin">
        <color rgb="FFBBDEFB"/>
      </bottom>
      <diagonal/>
    </border>
    <border diagonalUp="false" diagonalDown="false">
      <left style="thin"/>
      <right style="thin"/>
      <top style="thin"/>
      <bottom style="thin"/>
      <diagonal/>
    </border>
    <border diagonalUp="false" diagonalDown="false">
      <left style="medium"/>
      <right style="thin"/>
      <top style="medium"/>
      <bottom/>
      <diagonal/>
    </border>
    <border diagonalUp="false" diagonalDown="false">
      <left style="thin"/>
      <right style="medium"/>
      <top style="medium"/>
      <bottom/>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style="thin"/>
      <top style="medium"/>
      <bottom style="thin"/>
      <diagonal/>
    </border>
    <border diagonalUp="false" diagonalDown="false">
      <left style="medium"/>
      <right/>
      <top/>
      <bottom/>
      <diagonal/>
    </border>
    <border diagonalUp="false" diagonalDown="false">
      <left style="thin"/>
      <right style="medium"/>
      <top style="thin"/>
      <bottom style="thin"/>
      <diagonal/>
    </border>
    <border diagonalUp="false" diagonalDown="false">
      <left style="medium"/>
      <right style="thin"/>
      <top style="thin"/>
      <bottom/>
      <diagonal/>
    </border>
    <border diagonalUp="false" diagonalDown="false">
      <left/>
      <right style="medium"/>
      <top/>
      <bottom/>
      <diagonal/>
    </border>
    <border diagonalUp="false" diagonalDown="false">
      <left style="medium"/>
      <right style="thin"/>
      <top style="thin"/>
      <bottom style="thin"/>
      <diagonal/>
    </border>
    <border diagonalUp="false" diagonalDown="false">
      <left style="medium"/>
      <right style="thin"/>
      <top/>
      <bottom/>
      <diagonal/>
    </border>
    <border diagonalUp="false" diagonalDown="false">
      <left/>
      <right/>
      <top/>
      <bottom style="medium"/>
      <diagonal/>
    </border>
    <border diagonalUp="false" diagonalDown="false">
      <left style="thin"/>
      <right style="thin"/>
      <top style="thin"/>
      <bottom style="medium"/>
      <diagonal/>
    </border>
    <border diagonalUp="false" diagonalDown="false">
      <left/>
      <right style="medium"/>
      <top/>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medium"/>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medium"/>
      <right/>
      <top/>
      <bottom style="medium"/>
      <diagonal/>
    </border>
    <border diagonalUp="false" diagonalDown="false">
      <left style="medium"/>
      <right/>
      <top style="medium"/>
      <bottom style="medium"/>
      <diagonal/>
    </border>
    <border diagonalUp="false" diagonalDown="false">
      <left style="medium"/>
      <right/>
      <top style="medium"/>
      <bottom style="thin"/>
      <diagonal/>
    </border>
    <border diagonalUp="false" diagonalDown="false">
      <left style="medium"/>
      <right/>
      <top style="thin"/>
      <bottom style="thin"/>
      <diagonal/>
    </border>
    <border diagonalUp="false" diagonalDown="false">
      <left style="thin"/>
      <right style="thin"/>
      <top/>
      <bottom/>
      <diagonal/>
    </border>
    <border diagonalUp="false" diagonalDown="false">
      <left style="thin"/>
      <right style="thin"/>
      <top/>
      <bottom style="medium"/>
      <diagonal/>
    </border>
    <border diagonalUp="false" diagonalDown="false">
      <left/>
      <right style="thin"/>
      <top style="medium"/>
      <bottom style="thin"/>
      <diagonal/>
    </border>
    <border diagonalUp="false" diagonalDown="false">
      <left/>
      <right style="thin"/>
      <top style="thin"/>
      <bottom/>
      <diagonal/>
    </border>
    <border diagonalUp="false" diagonalDown="false">
      <left/>
      <right style="thin"/>
      <top/>
      <bottom/>
      <diagonal/>
    </border>
    <border diagonalUp="false" diagonalDown="false">
      <left/>
      <right style="thin"/>
      <top style="thin"/>
      <bottom style="medium"/>
      <diagonal/>
    </border>
    <border diagonalUp="false" diagonalDown="false">
      <left style="medium"/>
      <right style="medium"/>
      <top style="medium"/>
      <bottom style="thin"/>
      <diagonal/>
    </border>
    <border diagonalUp="false" diagonalDown="false">
      <left style="medium"/>
      <right style="medium"/>
      <top style="medium"/>
      <bottom/>
      <diagonal/>
    </border>
    <border diagonalUp="false" diagonalDown="false">
      <left style="thin"/>
      <right style="medium"/>
      <top/>
      <bottom/>
      <diagonal/>
    </border>
    <border diagonalUp="false" diagonalDown="false">
      <left style="thin"/>
      <right/>
      <top style="thin"/>
      <bottom/>
      <diagonal/>
    </border>
    <border diagonalUp="false" diagonalDown="false">
      <left style="medium"/>
      <right style="medium"/>
      <top/>
      <bottom/>
      <diagonal/>
    </border>
    <border diagonalUp="false" diagonalDown="false">
      <left style="thin"/>
      <right style="medium"/>
      <top/>
      <bottom style="medium"/>
      <diagonal/>
    </border>
    <border diagonalUp="false" diagonalDown="false">
      <left style="medium"/>
      <right style="thin"/>
      <top/>
      <bottom style="medium"/>
      <diagonal/>
    </border>
    <border diagonalUp="false" diagonalDown="false">
      <left style="medium"/>
      <right style="medium"/>
      <top/>
      <bottom style="medium"/>
      <diagonal/>
    </border>
    <border diagonalUp="false" diagonalDown="false">
      <left/>
      <right/>
      <top style="medium"/>
      <bottom style="thin"/>
      <diagonal/>
    </border>
    <border diagonalUp="false" diagonalDown="false">
      <left style="medium"/>
      <right style="medium"/>
      <top style="thin"/>
      <bottom style="thin"/>
      <diagonal/>
    </border>
    <border diagonalUp="false" diagonalDown="false">
      <left style="medium"/>
      <right/>
      <top style="thin"/>
      <bottom style="medium"/>
      <diagonal/>
    </border>
    <border diagonalUp="false" diagonalDown="false">
      <left/>
      <right/>
      <top style="thin"/>
      <bottom style="medium"/>
      <diagonal/>
    </border>
    <border diagonalUp="false" diagonalDown="false">
      <left style="medium"/>
      <right style="medium"/>
      <top style="thin"/>
      <bottom style="medium"/>
      <diagonal/>
    </border>
    <border diagonalUp="false" diagonalDown="false">
      <left/>
      <right/>
      <top style="medium"/>
      <bottom/>
      <diagonal/>
    </border>
    <border diagonalUp="false" diagonalDown="false">
      <left/>
      <right style="thin"/>
      <top style="medium"/>
      <bottom style="medium"/>
      <diagonal/>
    </border>
    <border diagonalUp="false" diagonalDown="false">
      <left/>
      <right/>
      <top style="thin"/>
      <bottom/>
      <diagonal/>
    </border>
    <border diagonalUp="false" diagonalDown="false">
      <left style="medium"/>
      <right style="medium"/>
      <top style="medium"/>
      <bottom style="medium"/>
      <diagonal/>
    </border>
    <border diagonalUp="false" diagonalDown="false">
      <left style="medium"/>
      <right/>
      <top/>
      <bottom style="thin"/>
      <diagonal/>
    </border>
    <border diagonalUp="false" diagonalDown="false">
      <left style="thin"/>
      <right/>
      <top style="medium"/>
      <bottom/>
      <diagonal/>
    </border>
    <border diagonalUp="false" diagonalDown="false">
      <left style="thin"/>
      <right/>
      <top style="medium"/>
      <bottom style="medium"/>
      <diagonal/>
    </border>
    <border diagonalUp="false" diagonalDown="false">
      <left/>
      <right/>
      <top style="medium"/>
      <bottom style="medium"/>
      <diagonal/>
    </border>
    <border diagonalUp="false" diagonalDown="false">
      <left/>
      <right style="medium"/>
      <top style="medium"/>
      <bottom style="medium"/>
      <diagonal/>
    </border>
    <border diagonalUp="false" diagonalDown="false">
      <left style="thin"/>
      <right/>
      <top style="medium"/>
      <bottom style="thin"/>
      <diagonal/>
    </border>
    <border diagonalUp="false" diagonalDown="false">
      <left/>
      <right style="medium"/>
      <top style="medium"/>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thick">
        <color rgb="FF6D338A"/>
      </left>
      <right style="thin">
        <color rgb="FFCDD5DF"/>
      </right>
      <top style="thin">
        <color rgb="FFCDD5DF"/>
      </top>
      <bottom style="thin">
        <color rgb="FFCDD5DF"/>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6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4" fontId="7" fillId="3" borderId="0"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false" indent="0" shrinkToFit="false"/>
      <protection locked="true" hidden="false"/>
    </xf>
    <xf numFmtId="164" fontId="10" fillId="4" borderId="0" xfId="0" applyFont="true" applyBorder="fals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false" indent="0" shrinkToFit="false"/>
      <protection locked="true" hidden="false"/>
    </xf>
    <xf numFmtId="164" fontId="10" fillId="6" borderId="0" xfId="0" applyFont="true" applyBorder="fals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false" indent="0" shrinkToFit="false"/>
      <protection locked="true" hidden="false"/>
    </xf>
    <xf numFmtId="165" fontId="9" fillId="5" borderId="1" xfId="0" applyFont="true" applyBorder="true" applyAlignment="true" applyProtection="false">
      <alignment horizontal="center" vertical="center" textRotation="0" wrapText="false" indent="0" shrinkToFit="false"/>
      <protection locked="true" hidden="false"/>
    </xf>
    <xf numFmtId="164" fontId="11" fillId="8"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7" fillId="9" borderId="1" xfId="0" applyFont="true" applyBorder="true" applyAlignment="true" applyProtection="false">
      <alignment horizontal="left"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11" fillId="8" borderId="1" xfId="0" applyFont="true" applyBorder="true" applyAlignment="true" applyProtection="false">
      <alignment horizontal="left" vertical="center" textRotation="0" wrapText="false" indent="0" shrinkToFit="false"/>
      <protection locked="true" hidden="false"/>
    </xf>
    <xf numFmtId="164" fontId="7" fillId="10" borderId="0"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left" vertical="center" textRotation="0" wrapText="false" indent="0" shrinkToFit="false"/>
      <protection locked="true" hidden="false"/>
    </xf>
    <xf numFmtId="164" fontId="14" fillId="8" borderId="1" xfId="0" applyFont="true" applyBorder="true" applyAlignment="true" applyProtection="false">
      <alignment horizontal="center" vertical="center" textRotation="0" wrapText="false" indent="0" shrinkToFit="false"/>
      <protection locked="true" hidden="false"/>
    </xf>
    <xf numFmtId="164" fontId="14" fillId="11" borderId="1" xfId="0" applyFont="true" applyBorder="true" applyAlignment="true" applyProtection="false">
      <alignment horizontal="center" vertical="center" textRotation="0" wrapText="fals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15" fillId="12" borderId="3" xfId="0" applyFont="true" applyBorder="tru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right" vertical="center" textRotation="0" wrapText="false" indent="0" shrinkToFit="false"/>
      <protection locked="true" hidden="false"/>
    </xf>
    <xf numFmtId="166" fontId="16" fillId="0" borderId="0" xfId="0" applyFont="true" applyBorder="false" applyAlignment="true" applyProtection="false">
      <alignment horizontal="general" vertical="center" textRotation="0" wrapText="true" indent="0" shrinkToFit="false"/>
      <protection locked="true" hidden="false"/>
    </xf>
    <xf numFmtId="165" fontId="16" fillId="0" borderId="0" xfId="0" applyFont="true" applyBorder="false" applyAlignment="true" applyProtection="false">
      <alignment horizontal="general" vertical="center" textRotation="0" wrapText="true" indent="0" shrinkToFit="false"/>
      <protection locked="true" hidden="false"/>
    </xf>
    <xf numFmtId="164" fontId="7" fillId="7" borderId="0" xfId="0" applyFont="true" applyBorder="true" applyAlignment="true" applyProtection="false">
      <alignment horizontal="left" vertical="center" textRotation="0" wrapText="false" indent="0" shrinkToFit="false"/>
      <protection locked="true" hidden="false"/>
    </xf>
    <xf numFmtId="164" fontId="17" fillId="7"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false" indent="0" shrinkToFit="false"/>
      <protection locked="true" hidden="false"/>
    </xf>
    <xf numFmtId="164" fontId="14" fillId="4" borderId="1" xfId="0" applyFont="true" applyBorder="true" applyAlignment="true" applyProtection="false">
      <alignment horizontal="left"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7" fontId="14" fillId="4" borderId="1" xfId="0" applyFont="true" applyBorder="true" applyAlignment="true" applyProtection="false">
      <alignment horizontal="center" vertical="center" textRotation="0" wrapText="false" indent="0" shrinkToFit="false"/>
      <protection locked="true" hidden="false"/>
    </xf>
    <xf numFmtId="164" fontId="14" fillId="13" borderId="1" xfId="0" applyFont="true" applyBorder="true" applyAlignment="true" applyProtection="false">
      <alignment horizontal="left" vertical="center" textRotation="0" wrapText="false" indent="0" shrinkToFit="false"/>
      <protection locked="true" hidden="false"/>
    </xf>
    <xf numFmtId="164" fontId="14" fillId="13" borderId="1" xfId="0" applyFont="true" applyBorder="true" applyAlignment="true" applyProtection="false">
      <alignment horizontal="center" vertical="center" textRotation="0" wrapText="false" indent="0" shrinkToFit="false"/>
      <protection locked="true" hidden="false"/>
    </xf>
    <xf numFmtId="167" fontId="14" fillId="13" borderId="1"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7" fillId="9" borderId="0" xfId="0" applyFont="true" applyBorder="true" applyAlignment="true" applyProtection="false">
      <alignment horizontal="left" vertical="center" textRotation="0" wrapText="false" indent="0" shrinkToFit="false"/>
      <protection locked="true" hidden="false"/>
    </xf>
    <xf numFmtId="164" fontId="17" fillId="9"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false" indent="0" shrinkToFit="false"/>
      <protection locked="true" hidden="false"/>
    </xf>
    <xf numFmtId="164" fontId="17" fillId="10"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false" indent="0" shrinkToFit="false"/>
      <protection locked="true" hidden="false"/>
    </xf>
    <xf numFmtId="164" fontId="14" fillId="11" borderId="1" xfId="0" applyFont="true" applyBorder="true" applyAlignment="true" applyProtection="false">
      <alignment horizontal="left" vertical="center" textRotation="0" wrapText="false" indent="0" shrinkToFit="false"/>
      <protection locked="true" hidden="false"/>
    </xf>
    <xf numFmtId="165" fontId="14" fillId="11" borderId="1" xfId="0" applyFont="true" applyBorder="true" applyAlignment="true" applyProtection="false">
      <alignment horizontal="center" vertical="center" textRotation="0" wrapText="false" indent="0" shrinkToFit="false"/>
      <protection locked="true" hidden="false"/>
    </xf>
    <xf numFmtId="165" fontId="14" fillId="4" borderId="1" xfId="0" applyFont="true" applyBorder="true" applyAlignment="true" applyProtection="false">
      <alignment horizontal="center" vertical="center" textRotation="0" wrapText="false" indent="0" shrinkToFit="false"/>
      <protection locked="true" hidden="false"/>
    </xf>
    <xf numFmtId="164" fontId="14" fillId="11" borderId="4" xfId="0" applyFont="true" applyBorder="true" applyAlignment="true" applyProtection="false">
      <alignment horizontal="left" vertical="center" textRotation="0" wrapText="false" indent="0" shrinkToFit="false"/>
      <protection locked="true" hidden="false"/>
    </xf>
    <xf numFmtId="165" fontId="14" fillId="11" borderId="4" xfId="0" applyFont="true" applyBorder="true" applyAlignment="true" applyProtection="false">
      <alignment horizontal="center" vertical="center" textRotation="0" wrapText="false" indent="0" shrinkToFit="false"/>
      <protection locked="true" hidden="false"/>
    </xf>
    <xf numFmtId="164" fontId="19" fillId="7" borderId="0" xfId="0" applyFont="true" applyBorder="true" applyAlignment="true" applyProtection="false">
      <alignment horizontal="center" vertical="center" textRotation="0" wrapText="false" indent="0" shrinkToFit="false"/>
      <protection locked="true" hidden="false"/>
    </xf>
    <xf numFmtId="164" fontId="6" fillId="9" borderId="0" xfId="0" applyFont="true" applyBorder="true" applyAlignment="true" applyProtection="false">
      <alignment horizontal="center" vertical="center" textRotation="0" wrapText="false" indent="0" shrinkToFit="false"/>
      <protection locked="true" hidden="false"/>
    </xf>
    <xf numFmtId="164" fontId="20" fillId="4" borderId="1" xfId="0" applyFont="true" applyBorder="true" applyAlignment="true" applyProtection="false">
      <alignment horizontal="left" vertical="center" textRotation="0" wrapText="false" indent="0" shrinkToFit="false"/>
      <protection locked="true" hidden="false"/>
    </xf>
    <xf numFmtId="168" fontId="9" fillId="5" borderId="1" xfId="0" applyFont="true" applyBorder="true" applyAlignment="true" applyProtection="false">
      <alignment horizontal="center" vertical="center" textRotation="0" wrapText="false" indent="0" shrinkToFit="false"/>
      <protection locked="true" hidden="false"/>
    </xf>
    <xf numFmtId="167" fontId="11" fillId="8" borderId="1" xfId="0" applyFont="true" applyBorder="true" applyAlignment="true" applyProtection="false">
      <alignment horizontal="center" vertical="center" textRotation="0" wrapText="false" indent="0" shrinkToFit="false"/>
      <protection locked="true" hidden="false"/>
    </xf>
    <xf numFmtId="167" fontId="21" fillId="4" borderId="1" xfId="0" applyFont="true" applyBorder="true" applyAlignment="true" applyProtection="false">
      <alignment horizontal="center" vertical="center" textRotation="0" wrapText="false" indent="0" shrinkToFit="false"/>
      <protection locked="true" hidden="false"/>
    </xf>
    <xf numFmtId="167" fontId="22" fillId="13" borderId="1" xfId="0" applyFont="true" applyBorder="true" applyAlignment="true" applyProtection="false">
      <alignment horizontal="center" vertical="center" textRotation="0" wrapText="false" indent="0" shrinkToFit="false"/>
      <protection locked="true" hidden="false"/>
    </xf>
    <xf numFmtId="164" fontId="20" fillId="13" borderId="1" xfId="0" applyFont="true" applyBorder="true" applyAlignment="true" applyProtection="false">
      <alignment horizontal="left" vertical="center"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7" fontId="7" fillId="7" borderId="1" xfId="0" applyFont="true" applyBorder="true" applyAlignment="true" applyProtection="false">
      <alignment horizontal="center" vertical="center" textRotation="0" wrapText="false" indent="0" shrinkToFit="false"/>
      <protection locked="true" hidden="false"/>
    </xf>
    <xf numFmtId="164" fontId="23" fillId="4" borderId="1" xfId="0" applyFont="true" applyBorder="true" applyAlignment="true" applyProtection="false">
      <alignment horizontal="left" vertical="center" textRotation="0" wrapText="false" indent="0" shrinkToFit="false"/>
      <protection locked="true" hidden="false"/>
    </xf>
    <xf numFmtId="164" fontId="23" fillId="13" borderId="1" xfId="0" applyFont="true" applyBorder="true" applyAlignment="true" applyProtection="false">
      <alignment horizontal="left" vertical="center" textRotation="0" wrapText="fals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center" vertical="center" textRotation="0" wrapText="false" indent="0" shrinkToFit="false"/>
      <protection locked="true" hidden="false"/>
    </xf>
    <xf numFmtId="164" fontId="7" fillId="14" borderId="0" xfId="0" applyFont="true" applyBorder="true" applyAlignment="true" applyProtection="false">
      <alignment horizontal="left" vertical="center" textRotation="0" wrapText="false" indent="0" shrinkToFit="false"/>
      <protection locked="true" hidden="false"/>
    </xf>
    <xf numFmtId="164" fontId="17" fillId="14" borderId="1" xfId="0" applyFont="true" applyBorder="true" applyAlignment="true" applyProtection="false">
      <alignment horizontal="center" vertical="center" textRotation="0" wrapText="true" indent="0" shrinkToFit="false"/>
      <protection locked="true" hidden="false"/>
    </xf>
    <xf numFmtId="164" fontId="6" fillId="14" borderId="1" xfId="0" applyFont="true" applyBorder="true" applyAlignment="true" applyProtection="false">
      <alignment horizontal="center" vertical="center" textRotation="0" wrapText="false" indent="0" shrinkToFit="false"/>
      <protection locked="true" hidden="false"/>
    </xf>
    <xf numFmtId="164" fontId="24" fillId="13" borderId="1" xfId="0" applyFont="true" applyBorder="true" applyAlignment="true" applyProtection="false">
      <alignment horizontal="left" vertical="center" textRotation="0" wrapText="fals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4" fontId="24" fillId="4" borderId="1" xfId="0" applyFont="true" applyBorder="true" applyAlignment="true" applyProtection="false">
      <alignment horizontal="left" vertical="center" textRotation="0" wrapText="false" indent="0" shrinkToFit="false"/>
      <protection locked="true" hidden="false"/>
    </xf>
    <xf numFmtId="164" fontId="0" fillId="14" borderId="1" xfId="0" applyFont="false" applyBorder="true" applyAlignment="true" applyProtection="false">
      <alignment horizontal="general" vertical="bottom" textRotation="0" wrapText="false" indent="0" shrinkToFit="false"/>
      <protection locked="true" hidden="false"/>
    </xf>
    <xf numFmtId="164" fontId="7" fillId="14" borderId="1" xfId="0" applyFont="true" applyBorder="true" applyAlignment="true" applyProtection="false">
      <alignment horizontal="left" vertical="center" textRotation="0" wrapText="false" indent="0" shrinkToFit="false"/>
      <protection locked="true" hidden="false"/>
    </xf>
    <xf numFmtId="167" fontId="7" fillId="14" borderId="1" xfId="0" applyFont="true" applyBorder="true" applyAlignment="true" applyProtection="false">
      <alignment horizontal="center" vertical="center" textRotation="0" wrapText="false" indent="0" shrinkToFit="false"/>
      <protection locked="true" hidden="false"/>
    </xf>
    <xf numFmtId="164" fontId="19" fillId="7" borderId="5" xfId="0" applyFont="true" applyBorder="true" applyAlignment="true" applyProtection="false">
      <alignment horizontal="right" vertical="center" textRotation="0" wrapText="false" indent="0" shrinkToFit="false"/>
      <protection locked="true" hidden="false"/>
    </xf>
    <xf numFmtId="168" fontId="5" fillId="7" borderId="1"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9" fillId="10" borderId="0" xfId="0" applyFont="true" applyBorder="true" applyAlignment="true" applyProtection="false">
      <alignment horizontal="center" vertical="center" textRotation="0" wrapText="false" indent="0" shrinkToFit="false"/>
      <protection locked="true" hidden="false"/>
    </xf>
    <xf numFmtId="164" fontId="6" fillId="10" borderId="0" xfId="0" applyFont="true" applyBorder="true" applyAlignment="true" applyProtection="false">
      <alignment horizontal="center" vertical="center" textRotation="0" wrapText="false" indent="0" shrinkToFit="false"/>
      <protection locked="true" hidden="false"/>
    </xf>
    <xf numFmtId="164" fontId="26" fillId="11" borderId="0" xfId="0" applyFont="true" applyBorder="true" applyAlignment="true" applyProtection="false">
      <alignment horizontal="left" vertical="center" textRotation="0" wrapText="false" indent="0" shrinkToFit="false"/>
      <protection locked="true" hidden="false"/>
    </xf>
    <xf numFmtId="164" fontId="17" fillId="10" borderId="1" xfId="0" applyFont="true" applyBorder="true" applyAlignment="true" applyProtection="false">
      <alignment horizontal="general" vertical="bottom" textRotation="0" wrapText="false" indent="0" shrinkToFit="false"/>
      <protection locked="true" hidden="false"/>
    </xf>
    <xf numFmtId="164" fontId="27" fillId="4" borderId="1" xfId="0" applyFont="true" applyBorder="true" applyAlignment="true" applyProtection="false">
      <alignment horizontal="general" vertical="bottom" textRotation="0" wrapText="false" indent="0" shrinkToFit="false"/>
      <protection locked="true" hidden="false"/>
    </xf>
    <xf numFmtId="164" fontId="27" fillId="11" borderId="1" xfId="0" applyFont="true" applyBorder="true" applyAlignment="true" applyProtection="false">
      <alignment horizontal="general" vertical="bottom" textRotation="0" wrapText="false" indent="0" shrinkToFit="false"/>
      <protection locked="true" hidden="false"/>
    </xf>
    <xf numFmtId="164" fontId="7" fillId="15" borderId="0" xfId="0" applyFont="true" applyBorder="true" applyAlignment="true" applyProtection="false">
      <alignment horizontal="left" vertical="center" textRotation="0" wrapText="false" indent="0" shrinkToFit="false"/>
      <protection locked="true" hidden="false"/>
    </xf>
    <xf numFmtId="164" fontId="17" fillId="15" borderId="1" xfId="0" applyFont="true" applyBorder="true" applyAlignment="true" applyProtection="false">
      <alignment horizontal="center" vertical="center" textRotation="0" wrapText="true" indent="0" shrinkToFit="false"/>
      <protection locked="true" hidden="false"/>
    </xf>
    <xf numFmtId="164" fontId="28" fillId="4" borderId="1" xfId="0" applyFont="true" applyBorder="true" applyAlignment="true" applyProtection="false">
      <alignment horizontal="left" vertical="center" textRotation="0" wrapText="false" indent="0" shrinkToFit="false"/>
      <protection locked="true" hidden="false"/>
    </xf>
    <xf numFmtId="169" fontId="9" fillId="5" borderId="1" xfId="0" applyFont="true" applyBorder="true" applyAlignment="true" applyProtection="false">
      <alignment horizontal="center" vertical="center" textRotation="0" wrapText="false" indent="0" shrinkToFit="false"/>
      <protection locked="true" hidden="false"/>
    </xf>
    <xf numFmtId="168" fontId="21" fillId="4" borderId="1" xfId="0" applyFont="true" applyBorder="true" applyAlignment="true" applyProtection="false">
      <alignment horizontal="center" vertical="center" textRotation="0" wrapText="false" indent="0" shrinkToFit="false"/>
      <protection locked="true" hidden="false"/>
    </xf>
    <xf numFmtId="167" fontId="21" fillId="11" borderId="1" xfId="0" applyFont="true" applyBorder="true" applyAlignment="true" applyProtection="false">
      <alignment horizontal="center" vertical="center" textRotation="0" wrapText="false" indent="0" shrinkToFit="false"/>
      <protection locked="true" hidden="false"/>
    </xf>
    <xf numFmtId="164" fontId="28" fillId="11" borderId="1" xfId="0" applyFont="true" applyBorder="true" applyAlignment="true" applyProtection="false">
      <alignment horizontal="left" vertical="center" textRotation="0" wrapText="false" indent="0" shrinkToFit="false"/>
      <protection locked="true" hidden="false"/>
    </xf>
    <xf numFmtId="164" fontId="0" fillId="10" borderId="1" xfId="0" applyFont="false" applyBorder="true" applyAlignment="true" applyProtection="false">
      <alignment horizontal="general" vertical="bottom" textRotation="0" wrapText="false" indent="0" shrinkToFit="false"/>
      <protection locked="true" hidden="false"/>
    </xf>
    <xf numFmtId="164" fontId="7" fillId="10" borderId="1" xfId="0" applyFont="true" applyBorder="true" applyAlignment="true" applyProtection="false">
      <alignment horizontal="left" vertical="center" textRotation="0" wrapText="false" indent="0" shrinkToFit="false"/>
      <protection locked="true" hidden="false"/>
    </xf>
    <xf numFmtId="167" fontId="7" fillId="10" borderId="1" xfId="0" applyFont="true" applyBorder="true" applyAlignment="true" applyProtection="false">
      <alignment horizontal="center" vertical="center" textRotation="0" wrapText="false" indent="0" shrinkToFit="false"/>
      <protection locked="true" hidden="false"/>
    </xf>
    <xf numFmtId="164" fontId="7" fillId="16" borderId="0" xfId="0" applyFont="true" applyBorder="true" applyAlignment="true" applyProtection="false">
      <alignment horizontal="left" vertical="center" textRotation="0" wrapText="false" indent="0" shrinkToFit="false"/>
      <protection locked="true" hidden="false"/>
    </xf>
    <xf numFmtId="164" fontId="17" fillId="16" borderId="1" xfId="0" applyFont="true" applyBorder="true" applyAlignment="true" applyProtection="false">
      <alignment horizontal="center" vertical="center" textRotation="0" wrapText="true" indent="0" shrinkToFit="false"/>
      <protection locked="true" hidden="false"/>
    </xf>
    <xf numFmtId="164" fontId="6" fillId="16" borderId="1" xfId="0" applyFont="true" applyBorder="true" applyAlignment="true" applyProtection="false">
      <alignment horizontal="center" vertical="center" textRotation="0" wrapText="false" indent="0" shrinkToFit="false"/>
      <protection locked="true" hidden="false"/>
    </xf>
    <xf numFmtId="164" fontId="29" fillId="11" borderId="1" xfId="0" applyFont="true" applyBorder="true" applyAlignment="true" applyProtection="false">
      <alignment horizontal="left" vertical="center" textRotation="0" wrapText="false" indent="0" shrinkToFit="false"/>
      <protection locked="true" hidden="false"/>
    </xf>
    <xf numFmtId="169" fontId="11" fillId="8" borderId="1" xfId="0" applyFont="true" applyBorder="true" applyAlignment="true" applyProtection="false">
      <alignment horizontal="center" vertical="center" textRotation="0" wrapText="false" indent="0" shrinkToFit="false"/>
      <protection locked="true" hidden="false"/>
    </xf>
    <xf numFmtId="164" fontId="29" fillId="4" borderId="1" xfId="0" applyFont="true" applyBorder="true" applyAlignment="true" applyProtection="false">
      <alignment horizontal="left" vertical="center" textRotation="0" wrapText="false" indent="0" shrinkToFit="false"/>
      <protection locked="true" hidden="false"/>
    </xf>
    <xf numFmtId="164" fontId="0" fillId="16" borderId="1" xfId="0" applyFont="false" applyBorder="true" applyAlignment="true" applyProtection="false">
      <alignment horizontal="general" vertical="bottom" textRotation="0" wrapText="false" indent="0" shrinkToFit="false"/>
      <protection locked="true" hidden="false"/>
    </xf>
    <xf numFmtId="164" fontId="7" fillId="16" borderId="1" xfId="0" applyFont="true" applyBorder="true" applyAlignment="true" applyProtection="false">
      <alignment horizontal="left" vertical="center" textRotation="0" wrapText="false" indent="0" shrinkToFit="false"/>
      <protection locked="true" hidden="false"/>
    </xf>
    <xf numFmtId="167" fontId="7" fillId="16" borderId="1" xfId="0" applyFont="true" applyBorder="true" applyAlignment="true" applyProtection="false">
      <alignment horizontal="center" vertical="center" textRotation="0" wrapText="false" indent="0" shrinkToFit="false"/>
      <protection locked="true" hidden="false"/>
    </xf>
    <xf numFmtId="164" fontId="30" fillId="10" borderId="5" xfId="0" applyFont="true" applyBorder="true" applyAlignment="true" applyProtection="false">
      <alignment horizontal="right" vertical="center" textRotation="0" wrapText="false" indent="0" shrinkToFit="false"/>
      <protection locked="true" hidden="false"/>
    </xf>
    <xf numFmtId="168" fontId="19" fillId="10" borderId="1" xfId="0" applyFont="true" applyBorder="true" applyAlignment="true" applyProtection="false">
      <alignment horizontal="center" vertical="center" textRotation="0" wrapText="false" indent="0" shrinkToFit="false"/>
      <protection locked="true" hidden="false"/>
    </xf>
    <xf numFmtId="164" fontId="30" fillId="16" borderId="5" xfId="0" applyFont="true" applyBorder="true" applyAlignment="true" applyProtection="false">
      <alignment horizontal="right" vertical="center" textRotation="0" wrapText="false" indent="0" shrinkToFit="false"/>
      <protection locked="true" hidden="false"/>
    </xf>
    <xf numFmtId="168" fontId="19" fillId="16" borderId="1" xfId="0" applyFont="true" applyBorder="true" applyAlignment="true" applyProtection="false">
      <alignment horizontal="center" vertical="center" textRotation="0" wrapText="false" indent="0" shrinkToFit="false"/>
      <protection locked="true" hidden="false"/>
    </xf>
    <xf numFmtId="164" fontId="19" fillId="17" borderId="0" xfId="0" applyFont="true" applyBorder="true" applyAlignment="true" applyProtection="false">
      <alignment horizontal="center" vertical="center" textRotation="0" wrapText="false" indent="0" shrinkToFit="false"/>
      <protection locked="true" hidden="false"/>
    </xf>
    <xf numFmtId="164" fontId="6" fillId="17" borderId="0" xfId="0" applyFont="true" applyBorder="true" applyAlignment="true" applyProtection="false">
      <alignment horizontal="center" vertical="center" textRotation="0" wrapText="false" indent="0" shrinkToFit="false"/>
      <protection locked="true" hidden="false"/>
    </xf>
    <xf numFmtId="164" fontId="7" fillId="17" borderId="0" xfId="0" applyFont="true" applyBorder="true" applyAlignment="true" applyProtection="false">
      <alignment horizontal="left" vertical="center" textRotation="0" wrapText="false" indent="0" shrinkToFit="false"/>
      <protection locked="true" hidden="false"/>
    </xf>
    <xf numFmtId="164" fontId="17" fillId="17" borderId="1" xfId="0" applyFont="true" applyBorder="true" applyAlignment="true" applyProtection="false">
      <alignment horizontal="center" vertical="center" textRotation="0" wrapText="true" indent="0" shrinkToFit="false"/>
      <protection locked="true" hidden="false"/>
    </xf>
    <xf numFmtId="164" fontId="31" fillId="17" borderId="1" xfId="0" applyFont="true" applyBorder="true" applyAlignment="true" applyProtection="false">
      <alignment horizontal="center" vertical="center" textRotation="0" wrapText="true" indent="0" shrinkToFit="false"/>
      <protection locked="true" hidden="false"/>
    </xf>
    <xf numFmtId="164" fontId="0" fillId="18" borderId="1" xfId="0" applyFont="false" applyBorder="true" applyAlignment="true" applyProtection="false">
      <alignment horizontal="general" vertical="bottom" textRotation="0" wrapText="false" indent="0" shrinkToFit="false"/>
      <protection locked="true" hidden="false"/>
    </xf>
    <xf numFmtId="164" fontId="32" fillId="18" borderId="1" xfId="0" applyFont="true" applyBorder="true" applyAlignment="true" applyProtection="false">
      <alignment horizontal="center" vertical="center" textRotation="0" wrapText="false" indent="0" shrinkToFit="false"/>
      <protection locked="true" hidden="false"/>
    </xf>
    <xf numFmtId="164" fontId="13" fillId="18" borderId="1" xfId="0" applyFont="true" applyBorder="true" applyAlignment="true" applyProtection="false">
      <alignment horizontal="left" vertical="center" textRotation="0" wrapText="false" indent="0" shrinkToFit="false"/>
      <protection locked="true" hidden="false"/>
    </xf>
    <xf numFmtId="164" fontId="33" fillId="18" borderId="1" xfId="0" applyFont="true" applyBorder="true" applyAlignment="true" applyProtection="false">
      <alignment horizontal="left" vertical="center" textRotation="0" wrapText="true" indent="0" shrinkToFit="false"/>
      <protection locked="true" hidden="false"/>
    </xf>
    <xf numFmtId="164" fontId="34" fillId="5" borderId="1" xfId="0" applyFont="true" applyBorder="true" applyAlignment="true" applyProtection="false">
      <alignment horizontal="left" vertical="center" textRotation="0" wrapText="false" indent="0" shrinkToFit="false"/>
      <protection locked="true" hidden="false"/>
    </xf>
    <xf numFmtId="164" fontId="0" fillId="19" borderId="1" xfId="0" applyFont="false" applyBorder="true" applyAlignment="true" applyProtection="false">
      <alignment horizontal="general" vertical="bottom" textRotation="0" wrapText="false" indent="0" shrinkToFit="false"/>
      <protection locked="true" hidden="false"/>
    </xf>
    <xf numFmtId="164" fontId="32" fillId="19" borderId="1" xfId="0" applyFont="true" applyBorder="true" applyAlignment="true" applyProtection="false">
      <alignment horizontal="center" vertical="center" textRotation="0" wrapText="false" indent="0" shrinkToFit="false"/>
      <protection locked="true" hidden="false"/>
    </xf>
    <xf numFmtId="164" fontId="13" fillId="19" borderId="1" xfId="0" applyFont="true" applyBorder="true" applyAlignment="true" applyProtection="false">
      <alignment horizontal="left" vertical="center" textRotation="0" wrapText="false" indent="0" shrinkToFit="false"/>
      <protection locked="true" hidden="false"/>
    </xf>
    <xf numFmtId="164" fontId="33" fillId="19" borderId="1" xfId="0" applyFont="true" applyBorder="true" applyAlignment="true" applyProtection="false">
      <alignment horizontal="left" vertical="center" textRotation="0" wrapText="true" indent="0" shrinkToFit="false"/>
      <protection locked="true" hidden="false"/>
    </xf>
    <xf numFmtId="164" fontId="17" fillId="20" borderId="1" xfId="0" applyFont="true" applyBorder="true" applyAlignment="true" applyProtection="false">
      <alignment horizontal="center" vertical="center" textRotation="0" wrapText="true" indent="0" shrinkToFit="false"/>
      <protection locked="true" hidden="false"/>
    </xf>
    <xf numFmtId="164" fontId="6" fillId="17" borderId="1" xfId="0" applyFont="true" applyBorder="true" applyAlignment="true" applyProtection="false">
      <alignment horizontal="center" vertical="center" textRotation="0" wrapText="false" indent="0" shrinkToFit="false"/>
      <protection locked="true" hidden="false"/>
    </xf>
    <xf numFmtId="164" fontId="32" fillId="21" borderId="1" xfId="0" applyFont="true" applyBorder="true" applyAlignment="true" applyProtection="false">
      <alignment horizontal="left" vertical="center" textRotation="0" wrapText="false" indent="0" shrinkToFit="false"/>
      <protection locked="true" hidden="false"/>
    </xf>
    <xf numFmtId="170" fontId="11" fillId="8" borderId="1" xfId="0" applyFont="true" applyBorder="true" applyAlignment="true" applyProtection="false">
      <alignment horizontal="center" vertical="center" textRotation="0" wrapText="false" indent="0" shrinkToFit="false"/>
      <protection locked="true" hidden="false"/>
    </xf>
    <xf numFmtId="164" fontId="10" fillId="8" borderId="1" xfId="0" applyFont="true" applyBorder="true" applyAlignment="true" applyProtection="false">
      <alignment horizontal="left" vertical="center" textRotation="0" wrapText="true" indent="0" shrinkToFit="false"/>
      <protection locked="true" hidden="false"/>
    </xf>
    <xf numFmtId="167" fontId="21" fillId="21" borderId="1" xfId="0" applyFont="true" applyBorder="true" applyAlignment="true" applyProtection="false">
      <alignment horizontal="center" vertical="center" textRotation="0" wrapText="false" indent="0" shrinkToFit="false"/>
      <protection locked="true" hidden="false"/>
    </xf>
    <xf numFmtId="164" fontId="32" fillId="4" borderId="1" xfId="0" applyFont="true" applyBorder="true" applyAlignment="true" applyProtection="false">
      <alignment horizontal="left" vertical="center" textRotation="0" wrapText="false" indent="0" shrinkToFit="false"/>
      <protection locked="true" hidden="false"/>
    </xf>
    <xf numFmtId="164" fontId="0" fillId="17" borderId="1" xfId="0" applyFont="false" applyBorder="true" applyAlignment="true" applyProtection="false">
      <alignment horizontal="general" vertical="bottom" textRotation="0" wrapText="false" indent="0" shrinkToFit="false"/>
      <protection locked="true" hidden="false"/>
    </xf>
    <xf numFmtId="164" fontId="7" fillId="17" borderId="1" xfId="0" applyFont="true" applyBorder="true" applyAlignment="true" applyProtection="false">
      <alignment horizontal="left" vertical="center" textRotation="0" wrapText="false" indent="0" shrinkToFit="false"/>
      <protection locked="true" hidden="false"/>
    </xf>
    <xf numFmtId="165" fontId="7" fillId="17" borderId="1" xfId="0" applyFont="true" applyBorder="true" applyAlignment="true" applyProtection="false">
      <alignment horizontal="center" vertical="center" textRotation="0" wrapText="false" indent="0" shrinkToFit="false"/>
      <protection locked="true" hidden="false"/>
    </xf>
    <xf numFmtId="164" fontId="7" fillId="22" borderId="0" xfId="0" applyFont="true" applyBorder="true" applyAlignment="true" applyProtection="false">
      <alignment horizontal="left" vertical="center" textRotation="0" wrapText="false" indent="0" shrinkToFit="false"/>
      <protection locked="true" hidden="false"/>
    </xf>
    <xf numFmtId="164" fontId="17" fillId="22" borderId="1" xfId="0" applyFont="true" applyBorder="true" applyAlignment="true" applyProtection="false">
      <alignment horizontal="center" vertical="center" textRotation="0" wrapText="true" indent="0" shrinkToFit="false"/>
      <protection locked="true" hidden="false"/>
    </xf>
    <xf numFmtId="164" fontId="17" fillId="22" borderId="5" xfId="0" applyFont="true" applyBorder="true" applyAlignment="true" applyProtection="false">
      <alignment horizontal="center" vertical="center" textRotation="0" wrapText="true" indent="0" shrinkToFit="false"/>
      <protection locked="true" hidden="false"/>
    </xf>
    <xf numFmtId="164" fontId="17" fillId="22" borderId="6" xfId="0" applyFont="true" applyBorder="true" applyAlignment="true" applyProtection="false">
      <alignment horizontal="center" vertical="center" textRotation="0" wrapText="true" indent="0" shrinkToFit="false"/>
      <protection locked="true" hidden="false"/>
    </xf>
    <xf numFmtId="164" fontId="17" fillId="22" borderId="7" xfId="0" applyFont="true" applyBorder="true" applyAlignment="true" applyProtection="false">
      <alignment horizontal="center" vertical="center" textRotation="0" wrapText="true" indent="0" shrinkToFit="false"/>
      <protection locked="true" hidden="false"/>
    </xf>
    <xf numFmtId="164" fontId="17" fillId="22" borderId="8" xfId="0" applyFont="true" applyBorder="true" applyAlignment="true" applyProtection="false">
      <alignment horizontal="center" vertical="center" textRotation="0" wrapText="true" indent="0" shrinkToFit="false"/>
      <protection locked="true" hidden="false"/>
    </xf>
    <xf numFmtId="164" fontId="17" fillId="22" borderId="9" xfId="0" applyFont="true" applyBorder="true" applyAlignment="true" applyProtection="false">
      <alignment horizontal="center" vertical="center" textRotation="0" wrapText="true" indent="0" shrinkToFit="false"/>
      <protection locked="true" hidden="false"/>
    </xf>
    <xf numFmtId="164" fontId="17" fillId="22" borderId="10" xfId="0" applyFont="true" applyBorder="true" applyAlignment="true" applyProtection="false">
      <alignment horizontal="center" vertical="center" textRotation="0" wrapText="true" indent="0" shrinkToFit="false"/>
      <protection locked="true" hidden="false"/>
    </xf>
    <xf numFmtId="164" fontId="6" fillId="22" borderId="1" xfId="0" applyFont="true" applyBorder="true" applyAlignment="true" applyProtection="false">
      <alignment horizontal="center" vertical="center" textRotation="0" wrapText="false" indent="0" shrinkToFit="false"/>
      <protection locked="true" hidden="false"/>
    </xf>
    <xf numFmtId="164" fontId="35" fillId="21" borderId="1" xfId="0" applyFont="true" applyBorder="true" applyAlignment="true" applyProtection="false">
      <alignment horizontal="left" vertical="center" textRotation="0" wrapText="false" indent="0" shrinkToFit="false"/>
      <protection locked="true" hidden="false"/>
    </xf>
    <xf numFmtId="168" fontId="36" fillId="6" borderId="1" xfId="0" applyFont="true" applyBorder="true" applyAlignment="true" applyProtection="false">
      <alignment horizontal="center" vertical="center" textRotation="0" wrapText="false" indent="0" shrinkToFit="false"/>
      <protection locked="true" hidden="false"/>
    </xf>
    <xf numFmtId="171" fontId="11" fillId="8" borderId="1" xfId="0" applyFont="true" applyBorder="true" applyAlignment="true" applyProtection="false">
      <alignment horizontal="center" vertical="center" textRotation="0" wrapText="false" indent="0" shrinkToFit="false"/>
      <protection locked="true" hidden="false"/>
    </xf>
    <xf numFmtId="169" fontId="11" fillId="8" borderId="11" xfId="0" applyFont="true" applyBorder="true" applyAlignment="true" applyProtection="false">
      <alignment horizontal="center" vertical="center" textRotation="0" wrapText="false" indent="0" shrinkToFit="false"/>
      <protection locked="true" hidden="false"/>
    </xf>
    <xf numFmtId="167" fontId="21" fillId="21" borderId="11" xfId="0" applyFont="true" applyBorder="true" applyAlignment="true" applyProtection="false">
      <alignment horizontal="center" vertical="center" textRotation="0" wrapText="false" indent="0" shrinkToFit="false"/>
      <protection locked="true" hidden="false"/>
    </xf>
    <xf numFmtId="172" fontId="9" fillId="5" borderId="11" xfId="0" applyFont="true" applyBorder="true" applyAlignment="true" applyProtection="false">
      <alignment horizontal="center" vertical="center" textRotation="0" wrapText="false" indent="0" shrinkToFit="false"/>
      <protection locked="true" hidden="false"/>
    </xf>
    <xf numFmtId="164" fontId="35" fillId="4" borderId="1" xfId="0" applyFont="true" applyBorder="true" applyAlignment="true" applyProtection="false">
      <alignment horizontal="left" vertical="center" textRotation="0" wrapText="false" indent="0" shrinkToFit="false"/>
      <protection locked="true" hidden="false"/>
    </xf>
    <xf numFmtId="164" fontId="0" fillId="22" borderId="1" xfId="0" applyFont="false" applyBorder="true" applyAlignment="true" applyProtection="false">
      <alignment horizontal="general" vertical="bottom" textRotation="0" wrapText="false" indent="0" shrinkToFit="false"/>
      <protection locked="true" hidden="false"/>
    </xf>
    <xf numFmtId="164" fontId="7" fillId="22" borderId="1" xfId="0" applyFont="true" applyBorder="true" applyAlignment="true" applyProtection="false">
      <alignment horizontal="left" vertical="center" textRotation="0" wrapText="false" indent="0" shrinkToFit="false"/>
      <protection locked="true" hidden="false"/>
    </xf>
    <xf numFmtId="167" fontId="7" fillId="22" borderId="1" xfId="0" applyFont="true" applyBorder="true" applyAlignment="true" applyProtection="false">
      <alignment horizontal="center" vertical="center" textRotation="0" wrapText="false" indent="0" shrinkToFit="false"/>
      <protection locked="true" hidden="false"/>
    </xf>
    <xf numFmtId="164" fontId="7" fillId="23" borderId="0" xfId="0" applyFont="true" applyBorder="true" applyAlignment="true" applyProtection="false">
      <alignment horizontal="left" vertical="center" textRotation="0" wrapText="false" indent="0" shrinkToFit="false"/>
      <protection locked="true" hidden="false"/>
    </xf>
    <xf numFmtId="164" fontId="17" fillId="23" borderId="1" xfId="0" applyFont="true" applyBorder="true" applyAlignment="true" applyProtection="false">
      <alignment horizontal="center" vertical="center" textRotation="0" wrapText="true" indent="0" shrinkToFit="false"/>
      <protection locked="true" hidden="false"/>
    </xf>
    <xf numFmtId="164" fontId="6" fillId="23" borderId="1" xfId="0" applyFont="true" applyBorder="true" applyAlignment="true" applyProtection="false">
      <alignment horizontal="center" vertical="center" textRotation="0" wrapText="false" indent="0" shrinkToFit="false"/>
      <protection locked="true" hidden="false"/>
    </xf>
    <xf numFmtId="164" fontId="37" fillId="21" borderId="1" xfId="0" applyFont="true" applyBorder="true" applyAlignment="true" applyProtection="false">
      <alignment horizontal="left" vertical="center" textRotation="0" wrapText="false" indent="0" shrinkToFit="false"/>
      <protection locked="true" hidden="false"/>
    </xf>
    <xf numFmtId="164" fontId="10" fillId="8" borderId="1" xfId="0" applyFont="true" applyBorder="true" applyAlignment="true" applyProtection="false">
      <alignment horizontal="left" vertical="center" textRotation="0" wrapText="false" indent="0" shrinkToFit="false"/>
      <protection locked="true" hidden="false"/>
    </xf>
    <xf numFmtId="164" fontId="37" fillId="4" borderId="1" xfId="0" applyFont="true" applyBorder="true" applyAlignment="true" applyProtection="false">
      <alignment horizontal="left" vertical="center" textRotation="0" wrapText="false" indent="0" shrinkToFit="false"/>
      <protection locked="true" hidden="false"/>
    </xf>
    <xf numFmtId="164" fontId="0" fillId="23" borderId="1" xfId="0" applyFont="false" applyBorder="true" applyAlignment="true" applyProtection="false">
      <alignment horizontal="general" vertical="bottom" textRotation="0" wrapText="false" indent="0" shrinkToFit="false"/>
      <protection locked="true" hidden="false"/>
    </xf>
    <xf numFmtId="164" fontId="7" fillId="23" borderId="1" xfId="0" applyFont="true" applyBorder="true" applyAlignment="true" applyProtection="false">
      <alignment horizontal="left" vertical="center" textRotation="0" wrapText="false" indent="0" shrinkToFit="false"/>
      <protection locked="true" hidden="false"/>
    </xf>
    <xf numFmtId="167" fontId="7" fillId="23" borderId="1" xfId="0" applyFont="true" applyBorder="true" applyAlignment="true" applyProtection="false">
      <alignment horizontal="center" vertical="center" textRotation="0" wrapText="false" indent="0" shrinkToFit="false"/>
      <protection locked="true" hidden="false"/>
    </xf>
    <xf numFmtId="164" fontId="7" fillId="24" borderId="0" xfId="0" applyFont="true" applyBorder="true" applyAlignment="true" applyProtection="false">
      <alignment horizontal="left" vertical="center" textRotation="0" wrapText="false" indent="0" shrinkToFit="false"/>
      <protection locked="true" hidden="false"/>
    </xf>
    <xf numFmtId="164" fontId="17" fillId="24" borderId="1" xfId="0" applyFont="true" applyBorder="true" applyAlignment="true" applyProtection="false">
      <alignment horizontal="center" vertical="center" textRotation="0" wrapText="true" indent="0" shrinkToFit="false"/>
      <protection locked="true" hidden="false"/>
    </xf>
    <xf numFmtId="164" fontId="6" fillId="24" borderId="1" xfId="0" applyFont="true" applyBorder="true" applyAlignment="true" applyProtection="false">
      <alignment horizontal="center" vertical="center" textRotation="0" wrapText="false" indent="0" shrinkToFit="false"/>
      <protection locked="true" hidden="false"/>
    </xf>
    <xf numFmtId="164" fontId="38" fillId="25" borderId="12" xfId="0" applyFont="true" applyBorder="true" applyAlignment="true" applyProtection="false">
      <alignment horizontal="left" vertical="bottom" textRotation="0" wrapText="false" indent="1" shrinkToFit="false"/>
      <protection locked="true" hidden="false"/>
    </xf>
    <xf numFmtId="173" fontId="39" fillId="26" borderId="0" xfId="0" applyFont="true" applyBorder="false" applyAlignment="true" applyProtection="false">
      <alignment horizontal="left" vertical="bottom" textRotation="0" wrapText="false" indent="0" shrinkToFit="false"/>
      <protection locked="true" hidden="false"/>
    </xf>
    <xf numFmtId="164" fontId="38" fillId="4" borderId="12" xfId="0" applyFont="true" applyBorder="true" applyAlignment="true" applyProtection="false">
      <alignment horizontal="left" vertical="bottom" textRotation="0" wrapText="false" indent="1" shrinkToFit="false"/>
      <protection locked="true" hidden="false"/>
    </xf>
    <xf numFmtId="167" fontId="21" fillId="21" borderId="1" xfId="0" applyFont="true" applyBorder="true" applyAlignment="true" applyProtection="false">
      <alignment horizontal="left" vertical="center" textRotation="0" wrapText="false" indent="0" shrinkToFit="false"/>
      <protection locked="true" hidden="false"/>
    </xf>
    <xf numFmtId="164" fontId="0" fillId="24" borderId="1" xfId="0" applyFont="false" applyBorder="true" applyAlignment="true" applyProtection="false">
      <alignment horizontal="general" vertical="bottom" textRotation="0" wrapText="false" indent="0" shrinkToFit="false"/>
      <protection locked="true" hidden="false"/>
    </xf>
    <xf numFmtId="164" fontId="7" fillId="24" borderId="1" xfId="0" applyFont="true" applyBorder="true" applyAlignment="true" applyProtection="false">
      <alignment horizontal="left" vertical="center" textRotation="0" wrapText="false" indent="0" shrinkToFit="false"/>
      <protection locked="true" hidden="false"/>
    </xf>
    <xf numFmtId="167" fontId="7" fillId="24" borderId="1" xfId="0" applyFont="true" applyBorder="true" applyAlignment="true" applyProtection="false">
      <alignment horizontal="center" vertical="center" textRotation="0" wrapText="false" indent="0" shrinkToFit="false"/>
      <protection locked="true" hidden="false"/>
    </xf>
    <xf numFmtId="164" fontId="19" fillId="17" borderId="5" xfId="0" applyFont="true" applyBorder="true" applyAlignment="true" applyProtection="false">
      <alignment horizontal="right" vertical="center" textRotation="0" wrapText="false" indent="0" shrinkToFit="false"/>
      <protection locked="true" hidden="false"/>
    </xf>
    <xf numFmtId="168" fontId="5" fillId="17" borderId="1"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14" fillId="13" borderId="1" xfId="0" applyFont="true" applyBorder="true" applyAlignment="true" applyProtection="false">
      <alignment horizontal="left" vertical="center" textRotation="0" wrapText="true" indent="0" shrinkToFit="false"/>
      <protection locked="true" hidden="false"/>
    </xf>
    <xf numFmtId="168" fontId="40" fillId="13" borderId="1" xfId="0" applyFont="true" applyBorder="true" applyAlignment="true" applyProtection="false">
      <alignment horizontal="center" vertical="center" textRotation="0" wrapText="false" indent="0" shrinkToFit="false"/>
      <protection locked="true" hidden="false"/>
    </xf>
    <xf numFmtId="171" fontId="21" fillId="13" borderId="1" xfId="0" applyFont="true" applyBorder="true" applyAlignment="true" applyProtection="false">
      <alignment horizontal="center" vertical="center" textRotation="0" wrapText="false" indent="0" shrinkToFit="false"/>
      <protection locked="true" hidden="false"/>
    </xf>
    <xf numFmtId="171" fontId="21" fillId="8" borderId="1" xfId="0" applyFont="true" applyBorder="true" applyAlignment="true" applyProtection="false">
      <alignment horizontal="center" vertical="center" textRotation="0" wrapText="false" indent="0" shrinkToFit="false"/>
      <protection locked="true" hidden="false"/>
    </xf>
    <xf numFmtId="165" fontId="38" fillId="25" borderId="12" xfId="0" applyFont="true" applyBorder="true" applyAlignment="true" applyProtection="false">
      <alignment horizontal="right" vertical="center" textRotation="0" wrapText="false" indent="0" shrinkToFit="false"/>
      <protection locked="true" hidden="false"/>
    </xf>
    <xf numFmtId="164" fontId="14" fillId="11" borderId="1" xfId="0" applyFont="true" applyBorder="true" applyAlignment="true" applyProtection="false">
      <alignment horizontal="left" vertical="center" textRotation="0" wrapText="true" indent="0" shrinkToFit="false"/>
      <protection locked="true" hidden="false"/>
    </xf>
    <xf numFmtId="168" fontId="40" fillId="11" borderId="1" xfId="0" applyFont="true" applyBorder="true" applyAlignment="true" applyProtection="false">
      <alignment horizontal="center" vertical="center" textRotation="0" wrapText="false" indent="0" shrinkToFit="false"/>
      <protection locked="true" hidden="false"/>
    </xf>
    <xf numFmtId="171" fontId="21" fillId="11" borderId="1" xfId="0" applyFont="true" applyBorder="true" applyAlignment="true" applyProtection="false">
      <alignment horizontal="center" vertical="center" textRotation="0" wrapText="false" indent="0" shrinkToFit="false"/>
      <protection locked="true" hidden="false"/>
    </xf>
    <xf numFmtId="165" fontId="38" fillId="4" borderId="12" xfId="0" applyFont="true" applyBorder="true" applyAlignment="true" applyProtection="false">
      <alignment horizontal="right" vertical="center" textRotation="0" wrapText="false" indent="0" shrinkToFit="false"/>
      <protection locked="true" hidden="false"/>
    </xf>
    <xf numFmtId="164" fontId="7" fillId="15" borderId="1" xfId="0" applyFont="true" applyBorder="true" applyAlignment="true" applyProtection="false">
      <alignment horizontal="left" vertical="center" textRotation="0" wrapText="false" indent="0" shrinkToFit="false"/>
      <protection locked="true" hidden="false"/>
    </xf>
    <xf numFmtId="164" fontId="14" fillId="27" borderId="1" xfId="0" applyFont="true" applyBorder="true" applyAlignment="true" applyProtection="false">
      <alignment horizontal="left" vertical="center" textRotation="0" wrapText="true" indent="0" shrinkToFit="false"/>
      <protection locked="true" hidden="false"/>
    </xf>
    <xf numFmtId="168" fontId="40" fillId="27" borderId="1" xfId="0" applyFont="true" applyBorder="true" applyAlignment="true" applyProtection="false">
      <alignment horizontal="center" vertical="center" textRotation="0" wrapText="false" indent="0" shrinkToFit="false"/>
      <protection locked="true" hidden="false"/>
    </xf>
    <xf numFmtId="164" fontId="10" fillId="27" borderId="1" xfId="0" applyFont="true" applyBorder="true" applyAlignment="true" applyProtection="false">
      <alignment horizontal="center" vertical="center" textRotation="0" wrapText="false" indent="0" shrinkToFit="false"/>
      <protection locked="true" hidden="false"/>
    </xf>
    <xf numFmtId="164" fontId="14" fillId="21" borderId="1" xfId="0" applyFont="true" applyBorder="true" applyAlignment="true" applyProtection="false">
      <alignment horizontal="left" vertical="center" textRotation="0" wrapText="true" indent="0" shrinkToFit="false"/>
      <protection locked="true" hidden="false"/>
    </xf>
    <xf numFmtId="168" fontId="40" fillId="21" borderId="1" xfId="0" applyFont="true" applyBorder="true" applyAlignment="true" applyProtection="false">
      <alignment horizontal="center" vertical="center" textRotation="0" wrapText="false" indent="0" shrinkToFit="false"/>
      <protection locked="true" hidden="false"/>
    </xf>
    <xf numFmtId="171" fontId="21" fillId="21" borderId="1" xfId="0" applyFont="true" applyBorder="true" applyAlignment="true" applyProtection="false">
      <alignment horizontal="center" vertical="center" textRotation="0" wrapText="false" indent="0" shrinkToFit="false"/>
      <protection locked="true" hidden="false"/>
    </xf>
    <xf numFmtId="164" fontId="41" fillId="2" borderId="5" xfId="0" applyFont="true" applyBorder="true" applyAlignment="true" applyProtection="false">
      <alignment horizontal="right" vertical="center" textRotation="0" wrapText="false" indent="0" shrinkToFit="false"/>
      <protection locked="true" hidden="false"/>
    </xf>
    <xf numFmtId="168" fontId="30" fillId="2" borderId="1"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41" fillId="3" borderId="5" xfId="0" applyFont="true" applyBorder="true" applyAlignment="true" applyProtection="false">
      <alignment horizontal="right" vertical="center" textRotation="0" wrapText="false" indent="0" shrinkToFit="false"/>
      <protection locked="true" hidden="false"/>
    </xf>
    <xf numFmtId="168" fontId="30" fillId="3" borderId="1" xfId="0" applyFont="tru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8" fontId="22" fillId="6" borderId="1" xfId="0" applyFont="true" applyBorder="true" applyAlignment="true" applyProtection="false">
      <alignment horizontal="center" vertical="center" textRotation="0" wrapText="false" indent="0" shrinkToFit="false"/>
      <protection locked="true" hidden="false"/>
    </xf>
    <xf numFmtId="171" fontId="21" fillId="4"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71" fontId="21" fillId="6" borderId="1" xfId="0" applyFont="true" applyBorder="true" applyAlignment="true" applyProtection="false">
      <alignment horizontal="center" vertical="center" textRotation="0" wrapText="false" indent="0" shrinkToFit="false"/>
      <protection locked="true" hidden="false"/>
    </xf>
    <xf numFmtId="168" fontId="22" fillId="13" borderId="1" xfId="0" applyFont="true" applyBorder="true" applyAlignment="true" applyProtection="false">
      <alignment horizontal="center" vertical="center" textRotation="0" wrapText="false" indent="0" shrinkToFit="false"/>
      <protection locked="true" hidden="false"/>
    </xf>
    <xf numFmtId="168" fontId="22" fillId="11" borderId="1" xfId="0" applyFont="true" applyBorder="true" applyAlignment="true" applyProtection="false">
      <alignment horizontal="center" vertical="center" textRotation="0" wrapText="false" indent="0" shrinkToFit="false"/>
      <protection locked="true" hidden="false"/>
    </xf>
    <xf numFmtId="168" fontId="22" fillId="21" borderId="1" xfId="0" applyFont="true" applyBorder="true" applyAlignment="true" applyProtection="false">
      <alignment horizontal="center" vertical="center" textRotation="0" wrapText="false" indent="0" shrinkToFit="false"/>
      <protection locked="true" hidden="false"/>
    </xf>
    <xf numFmtId="164" fontId="41" fillId="2" borderId="1" xfId="0" applyFont="true" applyBorder="true" applyAlignment="true" applyProtection="false">
      <alignment horizontal="left" vertical="center" textRotation="0" wrapText="false" indent="0" shrinkToFit="false"/>
      <protection locked="true" hidden="false"/>
    </xf>
    <xf numFmtId="164" fontId="41" fillId="2"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1" shrinkToFit="false"/>
      <protection locked="true" hidden="false"/>
    </xf>
    <xf numFmtId="164" fontId="43" fillId="6" borderId="1" xfId="0" applyFont="true" applyBorder="true" applyAlignment="true" applyProtection="false">
      <alignment horizontal="left" vertical="center" textRotation="0" wrapText="false" indent="0" shrinkToFit="false"/>
      <protection locked="true" hidden="false"/>
    </xf>
    <xf numFmtId="164" fontId="44" fillId="5" borderId="1" xfId="0" applyFont="true" applyBorder="true" applyAlignment="true" applyProtection="false">
      <alignment horizontal="center" vertical="center" textRotation="0" wrapText="false" indent="0" shrinkToFit="false"/>
      <protection locked="true" hidden="false"/>
    </xf>
    <xf numFmtId="164" fontId="40" fillId="6" borderId="1" xfId="0" applyFont="true" applyBorder="true" applyAlignment="true" applyProtection="false">
      <alignment horizontal="center" vertical="center" textRotation="0" wrapText="fals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4" fontId="6" fillId="10" borderId="1" xfId="0" applyFont="true" applyBorder="true" applyAlignment="true" applyProtection="false">
      <alignment horizontal="left" vertical="center" textRotation="0" wrapText="true" indent="0" shrinkToFit="false"/>
      <protection locked="true" hidden="false"/>
    </xf>
    <xf numFmtId="164" fontId="6" fillId="15" borderId="1" xfId="0" applyFont="true" applyBorder="true" applyAlignment="true" applyProtection="false">
      <alignment horizontal="left" vertical="center" textRotation="0" wrapText="true" indent="0" shrinkToFit="false"/>
      <protection locked="true" hidden="false"/>
    </xf>
    <xf numFmtId="171" fontId="21" fillId="27" borderId="1" xfId="0" applyFont="true" applyBorder="true" applyAlignment="true" applyProtection="false">
      <alignment horizontal="center" vertical="center" textRotation="0" wrapText="false" indent="0" shrinkToFit="false"/>
      <protection locked="true" hidden="false"/>
    </xf>
    <xf numFmtId="164" fontId="6" fillId="17"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8" fontId="40" fillId="6"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6" fillId="28" borderId="1" xfId="0" applyFont="true" applyBorder="true" applyAlignment="true" applyProtection="false">
      <alignment horizontal="left" vertical="center" textRotation="0" wrapText="true" indent="0" shrinkToFit="false"/>
      <protection locked="true" hidden="false"/>
    </xf>
    <xf numFmtId="168" fontId="40" fillId="29" borderId="1" xfId="0" applyFont="true" applyBorder="true" applyAlignment="true" applyProtection="false">
      <alignment horizontal="center" vertical="center" textRotation="0" wrapText="false" indent="0" shrinkToFit="false"/>
      <protection locked="true" hidden="false"/>
    </xf>
    <xf numFmtId="171" fontId="21" fillId="29" borderId="1" xfId="0" applyFont="true" applyBorder="true" applyAlignment="true" applyProtection="false">
      <alignment horizontal="center" vertical="center" textRotation="0" wrapText="false" indent="0" shrinkToFit="false"/>
      <protection locked="true" hidden="false"/>
    </xf>
    <xf numFmtId="164" fontId="43" fillId="4" borderId="1" xfId="0" applyFont="true" applyBorder="true" applyAlignment="true" applyProtection="false">
      <alignment horizontal="left" vertical="center" textRotation="0" wrapText="false" indent="0" shrinkToFit="false"/>
      <protection locked="true" hidden="false"/>
    </xf>
    <xf numFmtId="164" fontId="45" fillId="5" borderId="1" xfId="0" applyFont="true" applyBorder="true" applyAlignment="true" applyProtection="false">
      <alignment horizontal="center" vertical="center" textRotation="0" wrapText="false" indent="0" shrinkToFit="false"/>
      <protection locked="true" hidden="false"/>
    </xf>
    <xf numFmtId="173" fontId="45" fillId="26" borderId="0" xfId="0" applyFont="true" applyBorder="false" applyAlignment="true" applyProtection="false">
      <alignment horizontal="general" vertical="bottom" textRotation="0" wrapText="false" indent="0" shrinkToFit="false"/>
      <protection locked="true" hidden="false"/>
    </xf>
    <xf numFmtId="173" fontId="45" fillId="26" borderId="0" xfId="0" applyFont="true" applyBorder="false" applyAlignment="true" applyProtection="false">
      <alignment horizontal="left" vertical="center" textRotation="0" wrapText="false" indent="0" shrinkToFit="false"/>
      <protection locked="true" hidden="false"/>
    </xf>
    <xf numFmtId="164" fontId="45" fillId="5" borderId="1" xfId="0" applyFont="true" applyBorder="true" applyAlignment="true" applyProtection="false">
      <alignment horizontal="left" vertical="center"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64" fontId="46" fillId="11" borderId="0" xfId="0" applyFont="true" applyBorder="true" applyAlignment="true" applyProtection="false">
      <alignment horizontal="left" vertical="center" textRotation="0" wrapText="true" indent="0" shrinkToFit="false"/>
      <protection locked="true" hidden="false"/>
    </xf>
    <xf numFmtId="164" fontId="0" fillId="30" borderId="0" xfId="0" applyFont="false" applyBorder="false" applyAlignment="true" applyProtection="false">
      <alignment horizontal="general" vertical="bottom" textRotation="0" wrapText="false" indent="0" shrinkToFit="false"/>
      <protection locked="true" hidden="false"/>
    </xf>
    <xf numFmtId="164" fontId="47" fillId="31" borderId="0" xfId="0" applyFont="true" applyBorder="true" applyAlignment="true" applyProtection="false">
      <alignment horizontal="left" vertical="center" textRotation="0" wrapText="false" indent="0" shrinkToFit="false"/>
      <protection locked="true" hidden="false"/>
    </xf>
    <xf numFmtId="164" fontId="48" fillId="31" borderId="0" xfId="0" applyFont="true" applyBorder="true" applyAlignment="true" applyProtection="false">
      <alignment horizontal="left" vertical="center" textRotation="0" wrapText="false" indent="0" shrinkToFit="false"/>
      <protection locked="true" hidden="false"/>
    </xf>
    <xf numFmtId="164" fontId="49" fillId="32" borderId="0" xfId="0" applyFont="true" applyBorder="true" applyAlignment="true" applyProtection="false">
      <alignment horizontal="left" vertical="center" textRotation="0" wrapText="false" indent="0" shrinkToFit="false"/>
      <protection locked="true" hidden="false"/>
    </xf>
    <xf numFmtId="164" fontId="50" fillId="29" borderId="0" xfId="0" applyFont="true" applyBorder="true" applyAlignment="true" applyProtection="false">
      <alignment horizontal="left" vertical="center" textRotation="0" wrapText="false" indent="0" shrinkToFit="false"/>
      <protection locked="true" hidden="false"/>
    </xf>
    <xf numFmtId="164" fontId="51" fillId="19" borderId="0" xfId="0" applyFont="true" applyBorder="true" applyAlignment="true" applyProtection="false">
      <alignment horizontal="left" vertical="center" textRotation="0" wrapText="false" indent="0" shrinkToFit="false"/>
      <protection locked="true" hidden="false"/>
    </xf>
    <xf numFmtId="164" fontId="52" fillId="30" borderId="0" xfId="0" applyFont="true" applyBorder="false" applyAlignment="true" applyProtection="false">
      <alignment horizontal="general" vertical="center" textRotation="0" wrapText="false" indent="0" shrinkToFit="false"/>
      <protection locked="true" hidden="false"/>
    </xf>
    <xf numFmtId="164" fontId="0" fillId="33" borderId="0" xfId="0" applyFont="true" applyBorder="false" applyAlignment="true" applyProtection="false">
      <alignment horizontal="general" vertical="bottom" textRotation="0" wrapText="false" indent="0" shrinkToFit="false"/>
      <protection locked="true" hidden="false"/>
    </xf>
    <xf numFmtId="164" fontId="15" fillId="12" borderId="13" xfId="0" applyFont="true" applyBorder="true" applyAlignment="true" applyProtection="false">
      <alignment horizontal="left" vertical="center" textRotation="0" wrapText="false" indent="0" shrinkToFit="false"/>
      <protection locked="true" hidden="false"/>
    </xf>
    <xf numFmtId="164" fontId="15" fillId="12" borderId="13" xfId="0" applyFont="true" applyBorder="true" applyAlignment="true" applyProtection="false">
      <alignment horizontal="center" vertical="center" textRotation="0" wrapText="false" indent="0" shrinkToFit="false"/>
      <protection locked="true" hidden="false"/>
    </xf>
    <xf numFmtId="164" fontId="15" fillId="12" borderId="14" xfId="0" applyFont="true" applyBorder="true" applyAlignment="true" applyProtection="false">
      <alignment horizontal="left" vertical="center" textRotation="0" wrapText="false" indent="0" shrinkToFit="false"/>
      <protection locked="true" hidden="false"/>
    </xf>
    <xf numFmtId="173" fontId="45" fillId="26" borderId="0" xfId="0" applyFont="true" applyBorder="false" applyAlignment="true" applyProtection="false">
      <alignment horizontal="center" vertical="center" textRotation="0" wrapText="false" indent="0" shrinkToFit="false"/>
      <protection locked="true" hidden="false"/>
    </xf>
    <xf numFmtId="173" fontId="15" fillId="12" borderId="13" xfId="0" applyFont="true" applyBorder="true" applyAlignment="true" applyProtection="false">
      <alignment horizontal="center" vertical="center" textRotation="0" wrapText="false" indent="0" shrinkToFit="false"/>
      <protection locked="true" hidden="false"/>
    </xf>
    <xf numFmtId="164" fontId="53" fillId="4" borderId="15" xfId="0" applyFont="true" applyBorder="true" applyAlignment="true" applyProtection="false">
      <alignment horizontal="left" vertical="center" textRotation="0" wrapText="true" indent="0" shrinkToFit="false"/>
      <protection locked="true" hidden="false"/>
    </xf>
    <xf numFmtId="168" fontId="54" fillId="19" borderId="13" xfId="0" applyFont="true" applyBorder="true" applyAlignment="true" applyProtection="false">
      <alignment horizontal="center" vertical="center" textRotation="0" wrapText="false" indent="0" shrinkToFit="false"/>
      <protection locked="true" hidden="false"/>
    </xf>
    <xf numFmtId="168" fontId="54" fillId="29" borderId="13" xfId="0" applyFont="true" applyBorder="true" applyAlignment="true" applyProtection="false">
      <alignment horizontal="center" vertical="center" textRotation="0" wrapText="false" indent="0" shrinkToFit="false"/>
      <protection locked="true" hidden="false"/>
    </xf>
    <xf numFmtId="164" fontId="55" fillId="4" borderId="16" xfId="0" applyFont="true" applyBorder="true" applyAlignment="true" applyProtection="false">
      <alignment horizontal="left" vertical="center" textRotation="0" wrapText="true" indent="0" shrinkToFit="false"/>
      <protection locked="true" hidden="false"/>
    </xf>
    <xf numFmtId="164" fontId="56" fillId="4" borderId="17" xfId="0" applyFont="true" applyBorder="true" applyAlignment="true" applyProtection="false">
      <alignment horizontal="left" vertical="center" textRotation="0" wrapText="true" indent="0" shrinkToFit="false"/>
      <protection locked="true" hidden="false"/>
    </xf>
    <xf numFmtId="164" fontId="49" fillId="32" borderId="18" xfId="0" applyFont="true" applyBorder="true" applyAlignment="true" applyProtection="false">
      <alignment horizontal="center" vertical="center" textRotation="0" wrapText="false" indent="0" shrinkToFit="false"/>
      <protection locked="true" hidden="false"/>
    </xf>
    <xf numFmtId="164" fontId="15" fillId="33" borderId="13" xfId="0" applyFont="true" applyBorder="true" applyAlignment="true" applyProtection="false">
      <alignment horizontal="center" vertical="center" textRotation="0" wrapText="false" indent="0" shrinkToFit="false"/>
      <protection locked="true" hidden="false"/>
    </xf>
    <xf numFmtId="164" fontId="57" fillId="4" borderId="19" xfId="0" applyFont="true" applyBorder="true" applyAlignment="true" applyProtection="false">
      <alignment horizontal="left" vertical="center" textRotation="0" wrapText="false" indent="0" shrinkToFit="false"/>
      <protection locked="true" hidden="false"/>
    </xf>
    <xf numFmtId="168" fontId="57" fillId="29" borderId="13" xfId="0" applyFont="true" applyBorder="true" applyAlignment="true" applyProtection="false">
      <alignment horizontal="center" vertical="center" textRotation="0" wrapText="false" indent="0" shrinkToFit="false"/>
      <protection locked="true" hidden="false"/>
    </xf>
    <xf numFmtId="168" fontId="58" fillId="33" borderId="13" xfId="0" applyFont="true" applyBorder="true" applyAlignment="true" applyProtection="false">
      <alignment horizontal="center" vertical="center" textRotation="0" wrapText="false" indent="0" shrinkToFit="false"/>
      <protection locked="true" hidden="false"/>
    </xf>
    <xf numFmtId="164" fontId="59" fillId="34" borderId="17" xfId="0" applyFont="true" applyBorder="true" applyAlignment="true" applyProtection="false">
      <alignment horizontal="left" vertical="center" textRotation="0" wrapText="false" indent="0" shrinkToFit="false"/>
      <protection locked="true" hidden="false"/>
    </xf>
    <xf numFmtId="164" fontId="60" fillId="25" borderId="12" xfId="0" applyFont="true" applyBorder="true" applyAlignment="true" applyProtection="false">
      <alignment horizontal="left" vertical="bottom" textRotation="0" wrapText="false" indent="0" shrinkToFit="false"/>
      <protection locked="true" hidden="false"/>
    </xf>
    <xf numFmtId="164" fontId="61" fillId="4" borderId="20" xfId="0" applyFont="true" applyBorder="true" applyAlignment="true" applyProtection="false">
      <alignment horizontal="left" vertical="center" textRotation="0" wrapText="false" indent="0" shrinkToFit="false"/>
      <protection locked="true" hidden="false"/>
    </xf>
    <xf numFmtId="164" fontId="15" fillId="12" borderId="21" xfId="0" applyFont="true" applyBorder="true" applyAlignment="true" applyProtection="false">
      <alignment horizontal="left" vertical="center" textRotation="0" wrapText="false" indent="0" shrinkToFit="false"/>
      <protection locked="true" hidden="false"/>
    </xf>
    <xf numFmtId="165" fontId="38" fillId="33" borderId="12" xfId="0" applyFont="true" applyBorder="true" applyAlignment="true" applyProtection="false">
      <alignment horizontal="right" vertical="center" textRotation="0" wrapText="false" indent="0" shrinkToFit="false"/>
      <protection locked="true" hidden="false"/>
    </xf>
    <xf numFmtId="164" fontId="53" fillId="19" borderId="13" xfId="0" applyFont="true" applyBorder="true" applyAlignment="true" applyProtection="false">
      <alignment horizontal="center" vertical="center" textRotation="0" wrapText="false" indent="0" shrinkToFit="false"/>
      <protection locked="true" hidden="false"/>
    </xf>
    <xf numFmtId="164" fontId="54" fillId="19" borderId="13" xfId="0" applyFont="true" applyBorder="true" applyAlignment="true" applyProtection="false">
      <alignment horizontal="left" vertical="center" textRotation="0" wrapText="false" indent="0" shrinkToFit="false"/>
      <protection locked="true" hidden="false"/>
    </xf>
    <xf numFmtId="164" fontId="52" fillId="19" borderId="13" xfId="0" applyFont="true" applyBorder="true" applyAlignment="true" applyProtection="false">
      <alignment horizontal="left" vertical="center" textRotation="0" wrapText="true" indent="0" shrinkToFit="false"/>
      <protection locked="true" hidden="false"/>
    </xf>
    <xf numFmtId="164" fontId="62" fillId="29" borderId="13" xfId="0" applyFont="true" applyBorder="true" applyAlignment="true" applyProtection="false">
      <alignment horizontal="center" vertical="center" textRotation="0" wrapText="false" indent="0" shrinkToFit="false"/>
      <protection locked="true" hidden="false"/>
    </xf>
    <xf numFmtId="164" fontId="62" fillId="29" borderId="13" xfId="0" applyFont="true" applyBorder="true" applyAlignment="true" applyProtection="false">
      <alignment horizontal="left" vertical="center" textRotation="0" wrapText="false" indent="0" shrinkToFit="false"/>
      <protection locked="true" hidden="false"/>
    </xf>
    <xf numFmtId="164" fontId="52" fillId="29" borderId="13" xfId="0" applyFont="true" applyBorder="true" applyAlignment="true" applyProtection="false">
      <alignment horizontal="left" vertical="center" textRotation="0" wrapText="true" indent="0" shrinkToFit="false"/>
      <protection locked="true" hidden="false"/>
    </xf>
    <xf numFmtId="164" fontId="25" fillId="30" borderId="0" xfId="0" applyFont="true" applyBorder="false" applyAlignment="true" applyProtection="false">
      <alignment horizontal="general" vertical="bottom" textRotation="0" wrapText="false" indent="0" shrinkToFit="false"/>
      <protection locked="true" hidden="false"/>
    </xf>
    <xf numFmtId="164" fontId="63" fillId="35" borderId="22"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14" fillId="4"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4" fillId="6" borderId="1" xfId="0" applyFont="true" applyBorder="true" applyAlignment="true" applyProtection="false">
      <alignment horizontal="left"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45" fillId="5" borderId="1" xfId="0" applyFont="true" applyBorder="true" applyAlignment="true" applyProtection="false">
      <alignment horizontal="left" vertical="center" textRotation="0" wrapText="true" indent="0" shrinkToFit="false"/>
      <protection locked="true" hidden="false"/>
    </xf>
    <xf numFmtId="164" fontId="67" fillId="3"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center" vertical="bottom" textRotation="0" wrapText="false" indent="0" shrinkToFit="false"/>
      <protection locked="true" hidden="false"/>
    </xf>
    <xf numFmtId="164" fontId="68" fillId="0" borderId="23" xfId="0" applyFont="true" applyBorder="true" applyAlignment="true" applyProtection="false">
      <alignment horizontal="center" vertical="center" textRotation="0" wrapText="false" indent="0" shrinkToFit="false"/>
      <protection locked="true" hidden="false"/>
    </xf>
    <xf numFmtId="164" fontId="69" fillId="0" borderId="0" xfId="0" applyFont="true" applyBorder="false" applyAlignment="true" applyProtection="false">
      <alignment horizontal="general" vertical="bottom" textRotation="0" wrapText="false" indent="0" shrinkToFit="false"/>
      <protection locked="true" hidden="false"/>
    </xf>
    <xf numFmtId="164" fontId="69" fillId="0" borderId="0" xfId="0" applyFont="true" applyBorder="false" applyAlignment="true" applyProtection="false">
      <alignment horizontal="center" vertical="center" textRotation="0" wrapText="false" indent="0" shrinkToFit="false"/>
      <protection locked="true" hidden="false"/>
    </xf>
    <xf numFmtId="164" fontId="70" fillId="0" borderId="0" xfId="0" applyFont="true" applyBorder="false" applyAlignment="true" applyProtection="false">
      <alignment horizontal="general" vertical="center" textRotation="0" wrapText="false" indent="0" shrinkToFit="false"/>
      <protection locked="true" hidden="false"/>
    </xf>
    <xf numFmtId="164" fontId="38" fillId="0" borderId="0" xfId="0" applyFont="true" applyBorder="false" applyAlignment="true" applyProtection="false">
      <alignment horizontal="center" vertical="center" textRotation="0" wrapText="false" indent="0" shrinkToFit="false"/>
      <protection locked="true" hidden="false"/>
    </xf>
    <xf numFmtId="164" fontId="39" fillId="0" borderId="0" xfId="0" applyFont="true" applyBorder="true" applyAlignment="true" applyProtection="false">
      <alignment horizontal="left" vertical="bottom" textRotation="0" wrapText="true" indent="0" shrinkToFit="false"/>
      <protection locked="true" hidden="false"/>
    </xf>
    <xf numFmtId="164" fontId="39" fillId="0" borderId="0" xfId="0" applyFont="true" applyBorder="false" applyAlignment="true" applyProtection="false">
      <alignment horizontal="left" vertical="bottom" textRotation="0" wrapText="true" indent="0" shrinkToFit="false"/>
      <protection locked="true" hidden="false"/>
    </xf>
    <xf numFmtId="164" fontId="71" fillId="0" borderId="24" xfId="0" applyFont="true" applyBorder="true" applyAlignment="true" applyProtection="false">
      <alignment horizontal="center" vertical="center" textRotation="0" wrapText="false" indent="0" shrinkToFit="false"/>
      <protection locked="true" hidden="false"/>
    </xf>
    <xf numFmtId="164" fontId="71" fillId="0" borderId="25" xfId="0" applyFont="true" applyBorder="true" applyAlignment="true" applyProtection="false">
      <alignment horizontal="center" vertical="center" textRotation="0" wrapText="false" indent="0" shrinkToFit="false"/>
      <protection locked="true" hidden="false"/>
    </xf>
    <xf numFmtId="164" fontId="72" fillId="0" borderId="0" xfId="0" applyFont="true" applyBorder="false" applyAlignment="true" applyProtection="false">
      <alignment horizontal="left" vertical="bottom" textRotation="0" wrapText="true" indent="0" shrinkToFit="false"/>
      <protection locked="true" hidden="false"/>
    </xf>
    <xf numFmtId="164" fontId="39" fillId="0" borderId="26" xfId="0" applyFont="true" applyBorder="true" applyAlignment="true" applyProtection="false">
      <alignment horizontal="center" vertical="center" textRotation="0" wrapText="false" indent="0" shrinkToFit="false"/>
      <protection locked="true" hidden="false"/>
    </xf>
    <xf numFmtId="174" fontId="39" fillId="0" borderId="27" xfId="0" applyFont="true" applyBorder="true" applyAlignment="true" applyProtection="false">
      <alignment horizontal="center" vertical="center"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28" xfId="0" applyFont="true" applyBorder="true" applyAlignment="true" applyProtection="false">
      <alignment horizontal="center" vertical="center" textRotation="0" wrapText="false" indent="0" shrinkToFit="false"/>
      <protection locked="true" hidden="false"/>
    </xf>
    <xf numFmtId="174" fontId="39" fillId="0" borderId="29" xfId="0" applyFont="true" applyBorder="true" applyAlignment="true" applyProtection="false">
      <alignment horizontal="center" vertical="center"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true" applyAlignment="true" applyProtection="false">
      <alignment horizontal="left" vertical="top" textRotation="0" wrapText="true" indent="0" shrinkToFit="false"/>
      <protection locked="true" hidden="false"/>
    </xf>
    <xf numFmtId="164" fontId="39" fillId="0" borderId="0" xfId="0" applyFont="true" applyBorder="false" applyAlignment="true" applyProtection="false">
      <alignment horizontal="general" vertical="center" textRotation="0" wrapText="false" indent="0" shrinkToFit="false"/>
      <protection locked="true" hidden="false"/>
    </xf>
    <xf numFmtId="164" fontId="73" fillId="0" borderId="23" xfId="0" applyFont="true" applyBorder="true" applyAlignment="true" applyProtection="false">
      <alignment horizontal="center" vertical="center" textRotation="0" wrapText="false" indent="0" shrinkToFit="false"/>
      <protection locked="true" hidden="false"/>
    </xf>
    <xf numFmtId="164" fontId="73" fillId="0" borderId="30" xfId="0" applyFont="true" applyBorder="true" applyAlignment="true" applyProtection="false">
      <alignment horizontal="general" vertical="center" textRotation="0" wrapText="false" indent="0" shrinkToFit="false"/>
      <protection locked="true" hidden="false"/>
    </xf>
    <xf numFmtId="164" fontId="73" fillId="0" borderId="31" xfId="0" applyFont="true" applyBorder="true" applyAlignment="true" applyProtection="false">
      <alignment horizontal="general" vertical="center" textRotation="0" wrapText="false" indent="0" shrinkToFit="false"/>
      <protection locked="true" hidden="false"/>
    </xf>
    <xf numFmtId="164" fontId="39" fillId="0" borderId="31" xfId="0" applyFont="true" applyBorder="true" applyAlignment="true" applyProtection="false">
      <alignment horizontal="general" vertical="center" textRotation="0" wrapText="false" indent="0" shrinkToFit="false"/>
      <protection locked="true" hidden="false"/>
    </xf>
    <xf numFmtId="164" fontId="39" fillId="0" borderId="32" xfId="0" applyFont="true" applyBorder="true" applyAlignment="true" applyProtection="false">
      <alignment horizontal="general" vertical="center" textRotation="0" wrapText="false" indent="0" shrinkToFit="false"/>
      <protection locked="true" hidden="false"/>
    </xf>
    <xf numFmtId="164" fontId="38" fillId="0" borderId="0" xfId="0" applyFont="true" applyBorder="false" applyAlignment="true" applyProtection="false">
      <alignment horizontal="general" vertical="center" textRotation="0" wrapText="false" indent="0" shrinkToFit="false"/>
      <protection locked="true" hidden="false"/>
    </xf>
    <xf numFmtId="175" fontId="38" fillId="0" borderId="0" xfId="0" applyFont="true" applyBorder="false" applyAlignment="true" applyProtection="false">
      <alignment horizontal="general" vertical="bottom" textRotation="0" wrapText="false" indent="0" shrinkToFit="false"/>
      <protection locked="true" hidden="false"/>
    </xf>
    <xf numFmtId="164" fontId="71" fillId="0" borderId="26" xfId="0" applyFont="true" applyBorder="true" applyAlignment="true" applyProtection="false">
      <alignment horizontal="center" vertical="center" textRotation="0" wrapText="false" indent="0" shrinkToFit="false"/>
      <protection locked="true" hidden="false"/>
    </xf>
    <xf numFmtId="164" fontId="71" fillId="0" borderId="33" xfId="0" applyFont="true" applyBorder="true" applyAlignment="true" applyProtection="false">
      <alignment horizontal="center" vertical="center" textRotation="0" wrapText="true" indent="0" shrinkToFit="false"/>
      <protection locked="true" hidden="false"/>
    </xf>
    <xf numFmtId="164" fontId="71" fillId="0" borderId="27" xfId="0" applyFont="true" applyBorder="true" applyAlignment="true" applyProtection="false">
      <alignment horizontal="center" vertical="center" textRotation="0" wrapText="true" indent="0" shrinkToFit="false"/>
      <protection locked="true" hidden="false"/>
    </xf>
    <xf numFmtId="164" fontId="39" fillId="0" borderId="0" xfId="0" applyFont="true" applyBorder="false" applyAlignment="true" applyProtection="false">
      <alignment horizontal="center" vertical="center" textRotation="0" wrapText="true" indent="0" shrinkToFit="false"/>
      <protection locked="true" hidden="false"/>
    </xf>
    <xf numFmtId="164" fontId="71" fillId="0" borderId="34" xfId="0" applyFont="true" applyBorder="true" applyAlignment="true" applyProtection="false">
      <alignment horizontal="center" vertical="center" textRotation="0" wrapText="true" indent="0" shrinkToFit="false"/>
      <protection locked="true" hidden="false"/>
    </xf>
    <xf numFmtId="164" fontId="74" fillId="0" borderId="23" xfId="0" applyFont="true" applyBorder="true" applyAlignment="true" applyProtection="false">
      <alignment horizontal="center" vertical="top" textRotation="0" wrapText="true" indent="0" shrinkToFit="false"/>
      <protection locked="true" hidden="false"/>
    </xf>
    <xf numFmtId="164" fontId="74" fillId="0" borderId="35" xfId="0" applyFont="true" applyBorder="true" applyAlignment="true" applyProtection="false">
      <alignment horizontal="center" vertical="top" textRotation="0" wrapText="true" indent="0" shrinkToFit="false"/>
      <protection locked="true" hidden="false"/>
    </xf>
    <xf numFmtId="164" fontId="75" fillId="0" borderId="0" xfId="0" applyFont="true" applyBorder="false" applyAlignment="true" applyProtection="false">
      <alignment horizontal="general" vertical="bottom" textRotation="0" wrapText="false" indent="0" shrinkToFit="false"/>
      <protection locked="true" hidden="false"/>
    </xf>
    <xf numFmtId="164" fontId="71" fillId="0" borderId="36" xfId="0" applyFont="true" applyBorder="true" applyAlignment="true" applyProtection="false">
      <alignment horizontal="center" vertical="bottom" textRotation="0" wrapText="false" indent="0" shrinkToFit="false"/>
      <protection locked="true" hidden="false"/>
    </xf>
    <xf numFmtId="164" fontId="71" fillId="0" borderId="0" xfId="0" applyFont="true" applyBorder="false" applyAlignment="true" applyProtection="false">
      <alignment horizontal="center" vertical="center" textRotation="0" wrapText="true" indent="0" shrinkToFit="false"/>
      <protection locked="true" hidden="false"/>
    </xf>
    <xf numFmtId="164" fontId="71" fillId="0" borderId="37" xfId="0" applyFont="true" applyBorder="true" applyAlignment="true" applyProtection="false">
      <alignment horizontal="center" vertical="center" textRotation="0" wrapText="true" indent="0" shrinkToFit="false"/>
      <protection locked="true" hidden="false"/>
    </xf>
    <xf numFmtId="164" fontId="39" fillId="0" borderId="38" xfId="0" applyFont="true" applyBorder="true" applyAlignment="true" applyProtection="false">
      <alignment horizontal="general" vertical="bottom" textRotation="0" wrapText="false" indent="0" shrinkToFit="false"/>
      <protection locked="true" hidden="false"/>
    </xf>
    <xf numFmtId="173" fontId="39" fillId="0" borderId="23" xfId="0" applyFont="true" applyBorder="true" applyAlignment="true" applyProtection="false">
      <alignment horizontal="general" vertical="bottom" textRotation="0" wrapText="false" indent="0" shrinkToFit="false"/>
      <protection locked="true" hidden="false"/>
    </xf>
    <xf numFmtId="174" fontId="39" fillId="0" borderId="23" xfId="0" applyFont="true" applyBorder="true" applyAlignment="true" applyProtection="false">
      <alignment horizontal="general" vertical="bottom" textRotation="0" wrapText="false" indent="0" shrinkToFit="false"/>
      <protection locked="true" hidden="false"/>
    </xf>
    <xf numFmtId="175" fontId="39" fillId="0" borderId="23" xfId="0" applyFont="true" applyBorder="true" applyAlignment="true" applyProtection="false">
      <alignment horizontal="general" vertical="bottom" textRotation="0" wrapText="false" indent="0" shrinkToFit="false"/>
      <protection locked="true" hidden="false"/>
    </xf>
    <xf numFmtId="174" fontId="39" fillId="0" borderId="35" xfId="0" applyFont="true" applyBorder="true" applyAlignment="true" applyProtection="false">
      <alignment horizontal="general" vertical="bottom" textRotation="0" wrapText="false" indent="0" shrinkToFit="false"/>
      <protection locked="true" hidden="false"/>
    </xf>
    <xf numFmtId="176" fontId="69" fillId="0" borderId="0" xfId="0" applyFont="true" applyBorder="false" applyAlignment="true" applyProtection="false">
      <alignment horizontal="general" vertical="bottom" textRotation="0" wrapText="false" indent="0" shrinkToFit="false"/>
      <protection locked="true" hidden="false"/>
    </xf>
    <xf numFmtId="176" fontId="39" fillId="0" borderId="0" xfId="0" applyFont="true" applyBorder="false" applyAlignment="true" applyProtection="false">
      <alignment horizontal="general" vertical="bottom" textRotation="0" wrapText="false" indent="0" shrinkToFit="false"/>
      <protection locked="true" hidden="false"/>
    </xf>
    <xf numFmtId="177" fontId="39" fillId="0" borderId="0" xfId="0" applyFont="true" applyBorder="false" applyAlignment="true" applyProtection="false">
      <alignment horizontal="general" vertical="bottom" textRotation="0" wrapText="false" indent="0" shrinkToFit="false"/>
      <protection locked="true" hidden="false"/>
    </xf>
    <xf numFmtId="164" fontId="71" fillId="0" borderId="39" xfId="0" applyFont="true" applyBorder="true" applyAlignment="true" applyProtection="false">
      <alignment horizontal="center" vertical="bottom" textRotation="0" wrapText="false" indent="0" shrinkToFit="false"/>
      <protection locked="true" hidden="false"/>
    </xf>
    <xf numFmtId="176" fontId="71" fillId="0" borderId="0" xfId="0" applyFont="true" applyBorder="false" applyAlignment="true" applyProtection="false">
      <alignment horizontal="general" vertical="bottom" textRotation="0" wrapText="false" indent="0" shrinkToFit="false"/>
      <protection locked="true" hidden="false"/>
    </xf>
    <xf numFmtId="174" fontId="71" fillId="0" borderId="0" xfId="0" applyFont="true" applyBorder="false" applyAlignment="true" applyProtection="false">
      <alignment horizontal="general" vertical="bottom" textRotation="0" wrapText="false" indent="0" shrinkToFit="false"/>
      <protection locked="true" hidden="false"/>
    </xf>
    <xf numFmtId="175" fontId="71" fillId="0" borderId="0" xfId="0" applyFont="true" applyBorder="false" applyAlignment="true" applyProtection="false">
      <alignment horizontal="general" vertical="bottom" textRotation="0" wrapText="false" indent="0" shrinkToFit="false"/>
      <protection locked="true" hidden="false"/>
    </xf>
    <xf numFmtId="174" fontId="71" fillId="0" borderId="37" xfId="0" applyFont="true" applyBorder="true" applyAlignment="true" applyProtection="false">
      <alignment horizontal="general" vertical="bottom" textRotation="0" wrapText="false" indent="0" shrinkToFit="false"/>
      <protection locked="true" hidden="false"/>
    </xf>
    <xf numFmtId="164" fontId="74" fillId="0" borderId="23" xfId="0" applyFont="true" applyBorder="true" applyAlignment="true" applyProtection="false">
      <alignment horizontal="center" vertical="center" textRotation="0" wrapText="true" indent="0" shrinkToFit="false"/>
      <protection locked="true" hidden="false"/>
    </xf>
    <xf numFmtId="164" fontId="74" fillId="0" borderId="35" xfId="0" applyFont="true" applyBorder="true" applyAlignment="true" applyProtection="false">
      <alignment horizontal="center" vertical="center" textRotation="0" wrapText="true" indent="0" shrinkToFit="false"/>
      <protection locked="true" hidden="false"/>
    </xf>
    <xf numFmtId="164" fontId="71" fillId="0" borderId="36" xfId="0" applyFont="true" applyBorder="true" applyAlignment="true" applyProtection="false">
      <alignment horizontal="center" vertical="center" textRotation="0" wrapText="true" indent="0" shrinkToFit="false"/>
      <protection locked="true" hidden="false"/>
    </xf>
    <xf numFmtId="176" fontId="38" fillId="0" borderId="0" xfId="0" applyFont="true" applyBorder="false" applyAlignment="true" applyProtection="false">
      <alignment horizontal="general" vertical="bottom" textRotation="0" wrapText="false" indent="0" shrinkToFit="false"/>
      <protection locked="true" hidden="false"/>
    </xf>
    <xf numFmtId="175" fontId="39" fillId="0" borderId="0" xfId="0" applyFont="true" applyBorder="false" applyAlignment="true" applyProtection="false">
      <alignment horizontal="general" vertical="bottom" textRotation="0" wrapText="false" indent="0" shrinkToFit="false"/>
      <protection locked="true" hidden="false"/>
    </xf>
    <xf numFmtId="164" fontId="39" fillId="0" borderId="37" xfId="0" applyFont="true" applyBorder="true" applyAlignment="true" applyProtection="false">
      <alignment horizontal="general" vertical="bottom" textRotation="0" wrapText="false" indent="0" shrinkToFit="false"/>
      <protection locked="true" hidden="false"/>
    </xf>
    <xf numFmtId="173" fontId="38" fillId="0" borderId="0" xfId="0" applyFont="true" applyBorder="false" applyAlignment="true" applyProtection="false">
      <alignment horizontal="center" vertical="bottom" textRotation="0" wrapText="false" indent="0" shrinkToFit="false"/>
      <protection locked="true" hidden="false"/>
    </xf>
    <xf numFmtId="178" fontId="39" fillId="0" borderId="23" xfId="0" applyFont="true" applyBorder="true" applyAlignment="true" applyProtection="false">
      <alignment horizontal="general" vertical="bottom" textRotation="0" wrapText="false" indent="0" shrinkToFit="false"/>
      <protection locked="true" hidden="false"/>
    </xf>
    <xf numFmtId="179" fontId="39" fillId="0" borderId="23" xfId="0" applyFont="true" applyBorder="true" applyAlignment="true" applyProtection="false">
      <alignment horizontal="general" vertical="bottom" textRotation="0" wrapText="false" indent="0" shrinkToFit="false"/>
      <protection locked="true" hidden="false"/>
    </xf>
    <xf numFmtId="179" fontId="39" fillId="0" borderId="35" xfId="0" applyFont="true" applyBorder="true" applyAlignment="true" applyProtection="false">
      <alignment horizontal="general" vertical="bottom" textRotation="0" wrapText="false" indent="0" shrinkToFit="false"/>
      <protection locked="true" hidden="false"/>
    </xf>
    <xf numFmtId="173" fontId="39" fillId="0" borderId="0" xfId="0" applyFont="true" applyBorder="false" applyAlignment="true" applyProtection="false">
      <alignment horizontal="general" vertical="bottom" textRotation="0" wrapText="false" indent="0" shrinkToFit="false"/>
      <protection locked="true" hidden="false"/>
    </xf>
    <xf numFmtId="173" fontId="71" fillId="0" borderId="39" xfId="0" applyFont="true" applyBorder="true" applyAlignment="true" applyProtection="false">
      <alignment horizontal="center" vertical="bottom" textRotation="0" wrapText="false" indent="0" shrinkToFit="false"/>
      <protection locked="true" hidden="false"/>
    </xf>
    <xf numFmtId="178" fontId="39" fillId="0" borderId="0" xfId="0" applyFont="true" applyBorder="false" applyAlignment="true" applyProtection="false">
      <alignment horizontal="general" vertical="bottom" textRotation="0" wrapText="false" indent="0" shrinkToFit="false"/>
      <protection locked="true" hidden="false"/>
    </xf>
    <xf numFmtId="179" fontId="71" fillId="0" borderId="0" xfId="0" applyFont="true" applyBorder="false" applyAlignment="true" applyProtection="false">
      <alignment horizontal="general" vertical="bottom" textRotation="0" wrapText="false" indent="0" shrinkToFit="false"/>
      <protection locked="true" hidden="false"/>
    </xf>
    <xf numFmtId="178" fontId="71" fillId="0" borderId="0" xfId="0" applyFont="true" applyBorder="false" applyAlignment="true" applyProtection="false">
      <alignment horizontal="general" vertical="bottom" textRotation="0" wrapText="false" indent="0" shrinkToFit="false"/>
      <protection locked="true" hidden="false"/>
    </xf>
    <xf numFmtId="178" fontId="71" fillId="0" borderId="37" xfId="0" applyFont="true" applyBorder="true" applyAlignment="true" applyProtection="false">
      <alignment horizontal="general" vertical="bottom" textRotation="0" wrapText="false" indent="0" shrinkToFit="false"/>
      <protection locked="true" hidden="false"/>
    </xf>
    <xf numFmtId="176" fontId="39" fillId="0" borderId="23" xfId="0" applyFont="true" applyBorder="true" applyAlignment="true" applyProtection="false">
      <alignment horizontal="general" vertical="bottom" textRotation="0" wrapText="false" indent="0" shrinkToFit="false"/>
      <protection locked="true" hidden="false"/>
    </xf>
    <xf numFmtId="178" fontId="39" fillId="0" borderId="35" xfId="0" applyFont="true" applyBorder="true" applyAlignment="true" applyProtection="false">
      <alignment horizontal="general" vertical="bottom" textRotation="0" wrapText="false" indent="0" shrinkToFit="false"/>
      <protection locked="true" hidden="false"/>
    </xf>
    <xf numFmtId="173" fontId="39" fillId="0" borderId="23" xfId="0" applyFont="true" applyBorder="true" applyAlignment="true" applyProtection="false">
      <alignment horizontal="center" vertical="bottom" textRotation="0" wrapText="false" indent="0" shrinkToFit="false"/>
      <protection locked="true" hidden="false"/>
    </xf>
    <xf numFmtId="173" fontId="38" fillId="0" borderId="0" xfId="0" applyFont="true" applyBorder="false" applyAlignment="true" applyProtection="false">
      <alignment horizontal="center" vertical="center" textRotation="0" wrapText="false" indent="0" shrinkToFit="false"/>
      <protection locked="true" hidden="false"/>
    </xf>
    <xf numFmtId="164" fontId="39" fillId="0" borderId="38" xfId="0" applyFont="true" applyBorder="true" applyAlignment="true" applyProtection="false">
      <alignment horizontal="general" vertical="center" textRotation="0" wrapText="false" indent="0" shrinkToFit="false"/>
      <protection locked="true" hidden="false"/>
    </xf>
    <xf numFmtId="178" fontId="39" fillId="0" borderId="23" xfId="0" applyFont="true" applyBorder="true" applyAlignment="true" applyProtection="false">
      <alignment horizontal="general" vertical="center" textRotation="0" wrapText="false" indent="0" shrinkToFit="false"/>
      <protection locked="true" hidden="false"/>
    </xf>
    <xf numFmtId="173" fontId="39" fillId="0" borderId="23" xfId="0" applyFont="true" applyBorder="true" applyAlignment="true" applyProtection="false">
      <alignment horizontal="general" vertical="center" textRotation="0" wrapText="false" indent="0" shrinkToFit="false"/>
      <protection locked="true" hidden="false"/>
    </xf>
    <xf numFmtId="175" fontId="39" fillId="0" borderId="23" xfId="0" applyFont="true" applyBorder="true" applyAlignment="true" applyProtection="false">
      <alignment horizontal="general" vertical="center" textRotation="0" wrapText="false" indent="0" shrinkToFit="false"/>
      <protection locked="true" hidden="false"/>
    </xf>
    <xf numFmtId="164" fontId="39" fillId="0" borderId="0" xfId="0" applyFont="true" applyBorder="false" applyAlignment="true" applyProtection="false">
      <alignment horizontal="center" vertical="center" textRotation="0" wrapText="false" indent="0" shrinkToFit="false"/>
      <protection locked="true" hidden="false"/>
    </xf>
    <xf numFmtId="173" fontId="71" fillId="0" borderId="36" xfId="0" applyFont="true" applyBorder="true" applyAlignment="true" applyProtection="false">
      <alignment horizontal="center" vertical="center" textRotation="0" wrapText="false" indent="0" shrinkToFit="false"/>
      <protection locked="true" hidden="false"/>
    </xf>
    <xf numFmtId="164" fontId="39" fillId="0" borderId="37" xfId="0" applyFont="true" applyBorder="true" applyAlignment="true" applyProtection="false">
      <alignment horizontal="general" vertical="center" textRotation="0" wrapText="false" indent="0" shrinkToFit="false"/>
      <protection locked="true" hidden="false"/>
    </xf>
    <xf numFmtId="173" fontId="39" fillId="0" borderId="35" xfId="0" applyFont="true" applyBorder="true" applyAlignment="true" applyProtection="false">
      <alignment horizontal="general" vertical="bottom" textRotation="0" wrapText="false" indent="0" shrinkToFit="false"/>
      <protection locked="true" hidden="false"/>
    </xf>
    <xf numFmtId="164" fontId="76" fillId="0" borderId="0" xfId="0" applyFont="true" applyBorder="false" applyAlignment="true" applyProtection="false">
      <alignment horizontal="general" vertical="bottom" textRotation="0" wrapText="false" indent="0" shrinkToFit="false"/>
      <protection locked="true" hidden="false"/>
    </xf>
    <xf numFmtId="173" fontId="39" fillId="0" borderId="0" xfId="0" applyFont="true" applyBorder="false" applyAlignment="true" applyProtection="false">
      <alignment horizontal="general" vertical="center" textRotation="0" wrapText="false" indent="0" shrinkToFit="false"/>
      <protection locked="true" hidden="false"/>
    </xf>
    <xf numFmtId="173" fontId="38" fillId="0" borderId="0" xfId="0" applyFont="true" applyBorder="false" applyAlignment="true" applyProtection="false">
      <alignment horizontal="general" vertical="center" textRotation="0" wrapText="false" indent="0" shrinkToFit="false"/>
      <protection locked="true" hidden="false"/>
    </xf>
    <xf numFmtId="173" fontId="38" fillId="0" borderId="37" xfId="0" applyFont="true" applyBorder="true" applyAlignment="true" applyProtection="false">
      <alignment horizontal="general" vertical="center" textRotation="0" wrapText="false" indent="0" shrinkToFit="false"/>
      <protection locked="true" hidden="false"/>
    </xf>
    <xf numFmtId="173" fontId="71" fillId="0" borderId="36" xfId="0" applyFont="true" applyBorder="true" applyAlignment="true" applyProtection="false">
      <alignment horizontal="center" vertical="center" textRotation="0" wrapText="true" indent="0" shrinkToFit="false"/>
      <protection locked="true" hidden="false"/>
    </xf>
    <xf numFmtId="164" fontId="39" fillId="0" borderId="28" xfId="0" applyFont="true" applyBorder="true" applyAlignment="true" applyProtection="false">
      <alignment horizontal="general" vertical="bottom" textRotation="0" wrapText="false" indent="0" shrinkToFit="false"/>
      <protection locked="true" hidden="false"/>
    </xf>
    <xf numFmtId="173" fontId="38" fillId="0" borderId="40" xfId="0" applyFont="true" applyBorder="true" applyAlignment="true" applyProtection="false">
      <alignment horizontal="general" vertical="center" textRotation="0" wrapText="false" indent="0" shrinkToFit="false"/>
      <protection locked="true" hidden="false"/>
    </xf>
    <xf numFmtId="175" fontId="39" fillId="0" borderId="41" xfId="0" applyFont="true" applyBorder="true" applyAlignment="true" applyProtection="false">
      <alignment horizontal="general" vertical="bottom" textRotation="0" wrapText="false" indent="0" shrinkToFit="false"/>
      <protection locked="true" hidden="false"/>
    </xf>
    <xf numFmtId="173" fontId="39" fillId="0" borderId="41" xfId="0" applyFont="true" applyBorder="true" applyAlignment="true" applyProtection="false">
      <alignment horizontal="general" vertical="bottom" textRotation="0" wrapText="false" indent="0" shrinkToFit="false"/>
      <protection locked="true" hidden="false"/>
    </xf>
    <xf numFmtId="173" fontId="38" fillId="0" borderId="42" xfId="0" applyFont="true" applyBorder="true" applyAlignment="true" applyProtection="false">
      <alignment horizontal="general" vertical="center" textRotation="0" wrapText="false" indent="0" shrinkToFit="false"/>
      <protection locked="true" hidden="false"/>
    </xf>
    <xf numFmtId="164" fontId="74" fillId="0" borderId="0" xfId="0" applyFont="true" applyBorder="false" applyAlignment="true" applyProtection="false">
      <alignment horizontal="general" vertical="center" textRotation="0" wrapText="false" indent="0" shrinkToFit="false"/>
      <protection locked="true" hidden="false"/>
    </xf>
    <xf numFmtId="164" fontId="38" fillId="0" borderId="0" xfId="0" applyFont="true" applyBorder="true" applyAlignment="true" applyProtection="false">
      <alignment horizontal="left" vertical="bottom" textRotation="0" wrapText="true" indent="0" shrinkToFit="false"/>
      <protection locked="true" hidden="false"/>
    </xf>
    <xf numFmtId="164" fontId="77" fillId="0" borderId="0" xfId="0" applyFont="true" applyBorder="false" applyAlignment="true" applyProtection="false">
      <alignment horizontal="general" vertical="bottom" textRotation="0" wrapText="false" indent="0" shrinkToFit="false"/>
      <protection locked="true" hidden="false"/>
    </xf>
    <xf numFmtId="180" fontId="38" fillId="0" borderId="0" xfId="0" applyFont="true" applyBorder="false" applyAlignment="true" applyProtection="false">
      <alignment horizontal="general" vertical="bottom" textRotation="0" wrapText="false" indent="0" shrinkToFit="false"/>
      <protection locked="true" hidden="false"/>
    </xf>
    <xf numFmtId="179" fontId="38" fillId="0" borderId="0" xfId="0" applyFont="true" applyBorder="false" applyAlignment="true" applyProtection="false">
      <alignment horizontal="general" vertical="bottom" textRotation="0" wrapText="false" indent="0" shrinkToFit="false"/>
      <protection locked="true" hidden="false"/>
    </xf>
    <xf numFmtId="181" fontId="38"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left" vertical="bottom" textRotation="0" wrapText="false" indent="0" shrinkToFit="false"/>
      <protection locked="true" hidden="false"/>
    </xf>
    <xf numFmtId="164" fontId="38" fillId="0" borderId="0" xfId="0" applyFont="true" applyBorder="false" applyAlignment="true" applyProtection="false">
      <alignment horizontal="left" vertical="bottom" textRotation="0" wrapText="true" indent="0" shrinkToFit="false"/>
      <protection locked="true" hidden="false"/>
    </xf>
    <xf numFmtId="164" fontId="78" fillId="0" borderId="0" xfId="0" applyFont="true" applyBorder="false" applyAlignment="true" applyProtection="false">
      <alignment horizontal="left" vertical="bottom" textRotation="0" wrapText="false" indent="2" shrinkToFit="false"/>
      <protection locked="true" hidden="false"/>
    </xf>
    <xf numFmtId="164" fontId="71" fillId="0" borderId="43" xfId="0" applyFont="true" applyBorder="true" applyAlignment="true" applyProtection="false">
      <alignment horizontal="center" vertical="center" textRotation="0" wrapText="false" indent="0" shrinkToFit="false"/>
      <protection locked="true" hidden="false"/>
    </xf>
    <xf numFmtId="164" fontId="71" fillId="0" borderId="44" xfId="0" applyFont="true" applyBorder="true" applyAlignment="true" applyProtection="false">
      <alignment horizontal="center" vertical="center" textRotation="0" wrapText="true" indent="0" shrinkToFit="false"/>
      <protection locked="true" hidden="false"/>
    </xf>
    <xf numFmtId="164" fontId="71" fillId="0" borderId="45" xfId="0" applyFont="true" applyBorder="true" applyAlignment="true" applyProtection="false">
      <alignment horizontal="center" vertical="center" textRotation="0" wrapText="true" indent="0" shrinkToFit="false"/>
      <protection locked="true" hidden="false"/>
    </xf>
    <xf numFmtId="182" fontId="39" fillId="0" borderId="0" xfId="0" applyFont="true" applyBorder="false" applyAlignment="true" applyProtection="false">
      <alignment horizontal="general" vertical="bottom" textRotation="0" wrapText="false" indent="0" shrinkToFit="false"/>
      <protection locked="true" hidden="false"/>
    </xf>
    <xf numFmtId="164" fontId="39" fillId="0" borderId="46" xfId="0" applyFont="true" applyBorder="true" applyAlignment="true" applyProtection="false">
      <alignment horizontal="general" vertical="center" textRotation="0" wrapText="false" indent="0" shrinkToFit="false"/>
      <protection locked="true" hidden="false"/>
    </xf>
    <xf numFmtId="173" fontId="39" fillId="0" borderId="47" xfId="0" applyFont="true" applyBorder="true" applyAlignment="true" applyProtection="false">
      <alignment horizontal="general" vertical="center" textRotation="0" wrapText="false" indent="0" shrinkToFit="false"/>
      <protection locked="true" hidden="false"/>
    </xf>
    <xf numFmtId="164" fontId="39" fillId="0" borderId="48" xfId="0" applyFont="true" applyBorder="true" applyAlignment="true" applyProtection="false">
      <alignment horizontal="center" vertical="center" textRotation="0" wrapText="false" indent="0" shrinkToFit="false"/>
      <protection locked="true" hidden="false"/>
    </xf>
    <xf numFmtId="164" fontId="79" fillId="0" borderId="0" xfId="0" applyFont="true" applyBorder="false" applyAlignment="true" applyProtection="false">
      <alignment horizontal="general" vertical="bottom" textRotation="0" wrapText="false" indent="0" shrinkToFit="false"/>
      <protection locked="true" hidden="false"/>
    </xf>
    <xf numFmtId="164" fontId="39" fillId="0" borderId="35" xfId="0" applyFont="true" applyBorder="true" applyAlignment="true" applyProtection="false">
      <alignment horizontal="center" vertical="center" textRotation="0" wrapText="false" indent="0" shrinkToFit="false"/>
      <protection locked="true" hidden="false"/>
    </xf>
    <xf numFmtId="179" fontId="39" fillId="0" borderId="23" xfId="0" applyFont="true" applyBorder="true" applyAlignment="true" applyProtection="false">
      <alignment horizontal="general" vertical="center" textRotation="0" wrapText="false" indent="0" shrinkToFit="false"/>
      <protection locked="true" hidden="false"/>
    </xf>
    <xf numFmtId="179" fontId="39" fillId="0" borderId="0" xfId="0" applyFont="true" applyBorder="false" applyAlignment="true" applyProtection="false">
      <alignment horizontal="general" vertical="bottom" textRotation="0" wrapText="false" indent="0" shrinkToFit="false"/>
      <protection locked="true" hidden="false"/>
    </xf>
    <xf numFmtId="173" fontId="76" fillId="0" borderId="0" xfId="0" applyFont="true" applyBorder="false" applyAlignment="true" applyProtection="false">
      <alignment horizontal="general" vertical="bottom" textRotation="0" wrapText="false" indent="0" shrinkToFit="false"/>
      <protection locked="true" hidden="false"/>
    </xf>
    <xf numFmtId="164" fontId="39" fillId="0" borderId="28" xfId="0" applyFont="true" applyBorder="true" applyAlignment="true" applyProtection="false">
      <alignment horizontal="general" vertical="center" textRotation="0" wrapText="false" indent="0" shrinkToFit="false"/>
      <protection locked="true" hidden="false"/>
    </xf>
    <xf numFmtId="173" fontId="39" fillId="0" borderId="41" xfId="0" applyFont="true" applyBorder="true" applyAlignment="true" applyProtection="false">
      <alignment horizontal="general" vertical="center" textRotation="0" wrapText="false" indent="0" shrinkToFit="false"/>
      <protection locked="true" hidden="false"/>
    </xf>
    <xf numFmtId="164" fontId="39" fillId="0" borderId="29" xfId="0" applyFont="true" applyBorder="true" applyAlignment="true" applyProtection="false">
      <alignment horizontal="center" vertical="center" textRotation="0" wrapText="false" indent="0" shrinkToFit="false"/>
      <protection locked="true" hidden="false"/>
    </xf>
    <xf numFmtId="164" fontId="38" fillId="0" borderId="0" xfId="0" applyFont="true" applyBorder="false" applyAlignment="true" applyProtection="false">
      <alignment horizontal="left" vertical="top" textRotation="0" wrapText="false" indent="2" shrinkToFit="false"/>
      <protection locked="true" hidden="false"/>
    </xf>
    <xf numFmtId="164" fontId="38" fillId="0" borderId="0" xfId="0" applyFont="true" applyBorder="false" applyAlignment="true" applyProtection="false">
      <alignment horizontal="left" vertical="top" textRotation="0" wrapText="true" indent="0" shrinkToFit="false"/>
      <protection locked="true" hidden="false"/>
    </xf>
    <xf numFmtId="164" fontId="73" fillId="0" borderId="23" xfId="0" applyFont="true" applyBorder="true" applyAlignment="true" applyProtection="false">
      <alignment horizontal="center" vertical="bottom" textRotation="0" wrapText="false" indent="0" shrinkToFit="false"/>
      <protection locked="true" hidden="false"/>
    </xf>
    <xf numFmtId="164" fontId="73" fillId="0" borderId="30" xfId="0" applyFont="true" applyBorder="true" applyAlignment="true" applyProtection="false">
      <alignment horizontal="general" vertical="bottom" textRotation="0" wrapText="false" indent="0" shrinkToFit="false"/>
      <protection locked="true" hidden="false"/>
    </xf>
    <xf numFmtId="164" fontId="39" fillId="0" borderId="31" xfId="0" applyFont="true" applyBorder="true" applyAlignment="true" applyProtection="false">
      <alignment horizontal="general" vertical="bottom" textRotation="0" wrapText="false" indent="0" shrinkToFit="false"/>
      <protection locked="true" hidden="false"/>
    </xf>
    <xf numFmtId="164" fontId="39" fillId="0" borderId="32" xfId="0" applyFont="true" applyBorder="true" applyAlignment="true" applyProtection="false">
      <alignment horizontal="general" vertical="bottom" textRotation="0" wrapText="false" indent="0" shrinkToFit="false"/>
      <protection locked="true" hidden="false"/>
    </xf>
    <xf numFmtId="164" fontId="71" fillId="0" borderId="44" xfId="0" applyFont="true" applyBorder="true" applyAlignment="true" applyProtection="false">
      <alignment horizontal="center" vertical="center" textRotation="0" wrapText="false" indent="0" shrinkToFit="false"/>
      <protection locked="true" hidden="false"/>
    </xf>
    <xf numFmtId="164" fontId="39" fillId="0" borderId="49" xfId="0" applyFont="true" applyBorder="true" applyAlignment="true" applyProtection="false">
      <alignment horizontal="general" vertical="bottom" textRotation="0" wrapText="false" indent="0" shrinkToFit="false"/>
      <protection locked="true" hidden="false"/>
    </xf>
    <xf numFmtId="164" fontId="39" fillId="0" borderId="33" xfId="0" applyFont="true" applyBorder="true" applyAlignment="true" applyProtection="false">
      <alignment horizontal="left" vertical="bottom" textRotation="0" wrapText="false" indent="0" shrinkToFit="false"/>
      <protection locked="true" hidden="false"/>
    </xf>
    <xf numFmtId="180" fontId="39" fillId="0" borderId="33" xfId="0" applyFont="true" applyBorder="true" applyAlignment="true" applyProtection="false">
      <alignment horizontal="general" vertical="bottom" textRotation="0" wrapText="false" indent="0" shrinkToFit="false"/>
      <protection locked="true" hidden="false"/>
    </xf>
    <xf numFmtId="180" fontId="39" fillId="0" borderId="27" xfId="0" applyFont="true" applyBorder="true" applyAlignment="true" applyProtection="false">
      <alignment horizontal="general" vertical="bottom" textRotation="0" wrapText="false" indent="0" shrinkToFit="false"/>
      <protection locked="true" hidden="false"/>
    </xf>
    <xf numFmtId="164" fontId="39" fillId="0" borderId="34" xfId="0" applyFont="true" applyBorder="true" applyAlignment="true" applyProtection="false">
      <alignment horizontal="general" vertical="bottom" textRotation="0" wrapText="false" indent="0" shrinkToFit="false"/>
      <protection locked="true" hidden="false"/>
    </xf>
    <xf numFmtId="164" fontId="39" fillId="0" borderId="47" xfId="0" applyFont="true" applyBorder="true" applyAlignment="true" applyProtection="false">
      <alignment horizontal="left" vertical="bottom" textRotation="0" wrapText="false" indent="0" shrinkToFit="false"/>
      <protection locked="true" hidden="false"/>
    </xf>
    <xf numFmtId="180" fontId="39" fillId="0" borderId="47" xfId="0" applyFont="true" applyBorder="true" applyAlignment="true" applyProtection="false">
      <alignment horizontal="general" vertical="bottom" textRotation="0" wrapText="false" indent="0" shrinkToFit="false"/>
      <protection locked="true" hidden="false"/>
    </xf>
    <xf numFmtId="180" fontId="39" fillId="0" borderId="48" xfId="0" applyFont="true" applyBorder="true" applyAlignment="true" applyProtection="false">
      <alignment horizontal="general" vertical="bottom" textRotation="0" wrapText="false" indent="0" shrinkToFit="false"/>
      <protection locked="true" hidden="false"/>
    </xf>
    <xf numFmtId="164" fontId="39" fillId="0" borderId="23" xfId="0" applyFont="true" applyBorder="true" applyAlignment="true" applyProtection="false">
      <alignment horizontal="left" vertical="bottom" textRotation="0" wrapText="false" indent="0" shrinkToFit="false"/>
      <protection locked="true" hidden="false"/>
    </xf>
    <xf numFmtId="180" fontId="39" fillId="0" borderId="23" xfId="0" applyFont="true" applyBorder="true" applyAlignment="true" applyProtection="false">
      <alignment horizontal="general" vertical="bottom" textRotation="0" wrapText="false" indent="0" shrinkToFit="false"/>
      <protection locked="true" hidden="false"/>
    </xf>
    <xf numFmtId="180" fontId="39" fillId="0" borderId="35" xfId="0" applyFont="true" applyBorder="true" applyAlignment="true" applyProtection="false">
      <alignment horizontal="general" vertical="bottom" textRotation="0" wrapText="false" indent="0" shrinkToFit="false"/>
      <protection locked="true" hidden="false"/>
    </xf>
    <xf numFmtId="180" fontId="39" fillId="0" borderId="50" xfId="0" applyFont="true" applyBorder="true" applyAlignment="true" applyProtection="false">
      <alignment horizontal="general" vertical="bottom" textRotation="0" wrapText="false" indent="0" shrinkToFit="false"/>
      <protection locked="true" hidden="false"/>
    </xf>
    <xf numFmtId="180" fontId="39" fillId="0" borderId="51" xfId="0" applyFont="true" applyBorder="true" applyAlignment="true" applyProtection="false">
      <alignment horizontal="general" vertical="bottom" textRotation="0" wrapText="false" indent="0" shrinkToFit="false"/>
      <protection locked="true" hidden="false"/>
    </xf>
    <xf numFmtId="164" fontId="39" fillId="0" borderId="52" xfId="0" applyFont="true" applyBorder="true" applyAlignment="true" applyProtection="false">
      <alignment horizontal="general" vertical="bottom" textRotation="0" wrapText="false" indent="0" shrinkToFit="false"/>
      <protection locked="true" hidden="false"/>
    </xf>
    <xf numFmtId="180" fontId="39" fillId="0" borderId="41" xfId="0" applyFont="true" applyBorder="true" applyAlignment="true" applyProtection="false">
      <alignment horizontal="general" vertical="bottom" textRotation="0" wrapText="false" indent="0" shrinkToFit="false"/>
      <protection locked="true" hidden="false"/>
    </xf>
    <xf numFmtId="180" fontId="39" fillId="0" borderId="29" xfId="0" applyFont="true" applyBorder="true" applyAlignment="true" applyProtection="false">
      <alignment horizontal="general" vertical="bottom" textRotation="0" wrapText="false" indent="0" shrinkToFit="false"/>
      <protection locked="true" hidden="false"/>
    </xf>
    <xf numFmtId="164" fontId="39" fillId="0" borderId="43" xfId="0" applyFont="true" applyBorder="true" applyAlignment="true" applyProtection="false">
      <alignment horizontal="left" vertical="center" textRotation="0" wrapText="false" indent="0" shrinkToFit="false"/>
      <protection locked="true" hidden="false"/>
    </xf>
    <xf numFmtId="180" fontId="72" fillId="0" borderId="33" xfId="0" applyFont="true" applyBorder="true" applyAlignment="true" applyProtection="false">
      <alignment horizontal="general" vertical="bottom" textRotation="0" wrapText="false" indent="0" shrinkToFit="false"/>
      <protection locked="true" hidden="false"/>
    </xf>
    <xf numFmtId="180" fontId="72" fillId="0" borderId="27" xfId="0" applyFont="true" applyBorder="true" applyAlignment="true" applyProtection="false">
      <alignment horizontal="general" vertical="bottom" textRotation="0" wrapText="false" indent="0" shrinkToFit="false"/>
      <protection locked="true" hidden="false"/>
    </xf>
    <xf numFmtId="180" fontId="72" fillId="0" borderId="23" xfId="0" applyFont="true" applyBorder="true" applyAlignment="true" applyProtection="false">
      <alignment horizontal="general" vertical="bottom" textRotation="0" wrapText="false" indent="0" shrinkToFit="false"/>
      <protection locked="true" hidden="false"/>
    </xf>
    <xf numFmtId="180" fontId="72" fillId="0" borderId="35" xfId="0" applyFont="true" applyBorder="true" applyAlignment="true" applyProtection="false">
      <alignment horizontal="general" vertical="bottom" textRotation="0" wrapText="false" indent="0" shrinkToFit="false"/>
      <protection locked="true" hidden="false"/>
    </xf>
    <xf numFmtId="164" fontId="39" fillId="0" borderId="41" xfId="0" applyFont="true" applyBorder="true" applyAlignment="true" applyProtection="false">
      <alignment horizontal="left" vertical="bottom" textRotation="0" wrapText="false" indent="0" shrinkToFit="false"/>
      <protection locked="true" hidden="false"/>
    </xf>
    <xf numFmtId="180" fontId="72" fillId="0" borderId="41" xfId="0" applyFont="true" applyBorder="true" applyAlignment="true" applyProtection="false">
      <alignment horizontal="general" vertical="bottom" textRotation="0" wrapText="false" indent="0" shrinkToFit="false"/>
      <protection locked="true" hidden="false"/>
    </xf>
    <xf numFmtId="180" fontId="72" fillId="0" borderId="29" xfId="0" applyFont="true" applyBorder="true" applyAlignment="true" applyProtection="false">
      <alignment horizontal="general" vertical="bottom" textRotation="0" wrapText="false" indent="0" shrinkToFit="false"/>
      <protection locked="true" hidden="false"/>
    </xf>
    <xf numFmtId="164" fontId="77" fillId="0" borderId="0" xfId="0" applyFont="true" applyBorder="false" applyAlignment="true" applyProtection="false">
      <alignment horizontal="general" vertical="center" textRotation="0" wrapText="false" indent="0" shrinkToFit="false"/>
      <protection locked="true" hidden="false"/>
    </xf>
    <xf numFmtId="164" fontId="71" fillId="0" borderId="53" xfId="0" applyFont="true" applyBorder="true" applyAlignment="true" applyProtection="false">
      <alignment horizontal="center" vertical="center" textRotation="0" wrapText="true" indent="0" shrinkToFit="false"/>
      <protection locked="true" hidden="false"/>
    </xf>
    <xf numFmtId="164" fontId="80" fillId="0" borderId="0" xfId="0" applyFont="true" applyBorder="false" applyAlignment="true" applyProtection="false">
      <alignment horizontal="general" vertical="bottom" textRotation="0" wrapText="false" indent="0" shrinkToFit="false"/>
      <protection locked="true" hidden="false"/>
    </xf>
    <xf numFmtId="164" fontId="39" fillId="0" borderId="54" xfId="0" applyFont="true" applyBorder="true" applyAlignment="true" applyProtection="false">
      <alignment horizontal="left" vertical="center" textRotation="0" wrapText="false" indent="0" shrinkToFit="false"/>
      <protection locked="true" hidden="false"/>
    </xf>
    <xf numFmtId="164" fontId="39" fillId="0" borderId="33" xfId="0" applyFont="true" applyBorder="true" applyAlignment="true" applyProtection="false">
      <alignment horizontal="left" vertical="center" textRotation="0" wrapText="false" indent="0" shrinkToFit="false"/>
      <protection locked="true" hidden="false"/>
    </xf>
    <xf numFmtId="164" fontId="39" fillId="0" borderId="0" xfId="0" applyFont="true" applyBorder="false" applyAlignment="true" applyProtection="false">
      <alignment horizontal="left" vertical="bottom" textRotation="0" wrapText="false" indent="0" shrinkToFit="false"/>
      <protection locked="true" hidden="false"/>
    </xf>
    <xf numFmtId="164" fontId="39" fillId="0" borderId="55" xfId="0" applyFont="true" applyBorder="true" applyAlignment="true" applyProtection="false">
      <alignment horizontal="left" vertical="center" textRotation="0" wrapText="false" indent="0" shrinkToFit="false"/>
      <protection locked="true" hidden="false"/>
    </xf>
    <xf numFmtId="164" fontId="39" fillId="0" borderId="23" xfId="0" applyFont="true" applyBorder="true" applyAlignment="true" applyProtection="false">
      <alignment horizontal="left" vertical="center" textRotation="0" wrapText="false" indent="0" shrinkToFit="false"/>
      <protection locked="true" hidden="false"/>
    </xf>
    <xf numFmtId="180" fontId="39" fillId="0" borderId="23" xfId="0" applyFont="true" applyBorder="true" applyAlignment="true" applyProtection="false">
      <alignment horizontal="right" vertical="bottom" textRotation="0" wrapText="false" indent="0" shrinkToFit="false"/>
      <protection locked="true" hidden="false"/>
    </xf>
    <xf numFmtId="180" fontId="39" fillId="0" borderId="35" xfId="0" applyFont="true" applyBorder="true" applyAlignment="true" applyProtection="false">
      <alignment horizontal="right" vertical="bottom" textRotation="0" wrapText="false" indent="0" shrinkToFit="false"/>
      <protection locked="true" hidden="false"/>
    </xf>
    <xf numFmtId="164" fontId="39" fillId="0" borderId="38" xfId="0" applyFont="true" applyBorder="true" applyAlignment="true" applyProtection="false">
      <alignment horizontal="left" vertical="center" textRotation="0" wrapText="false" indent="0" shrinkToFit="false"/>
      <protection locked="true" hidden="false"/>
    </xf>
    <xf numFmtId="164" fontId="39" fillId="0" borderId="50" xfId="0" applyFont="true" applyBorder="true" applyAlignment="true" applyProtection="false">
      <alignment horizontal="general" vertical="bottom" textRotation="0" wrapText="false" indent="0" shrinkToFit="false"/>
      <protection locked="true" hidden="false"/>
    </xf>
    <xf numFmtId="164" fontId="39" fillId="0" borderId="56" xfId="0" applyFont="true" applyBorder="true" applyAlignment="true" applyProtection="false">
      <alignment horizontal="general" vertical="bottom" textRotation="0" wrapText="false" indent="0" shrinkToFit="false"/>
      <protection locked="true" hidden="false"/>
    </xf>
    <xf numFmtId="164" fontId="39" fillId="0" borderId="28" xfId="0" applyFont="true" applyBorder="true" applyAlignment="true" applyProtection="false">
      <alignment horizontal="left" vertical="center" textRotation="0" wrapText="false" indent="0" shrinkToFit="false"/>
      <protection locked="true" hidden="false"/>
    </xf>
    <xf numFmtId="164" fontId="39" fillId="0" borderId="23" xfId="0" applyFont="true" applyBorder="true" applyAlignment="true" applyProtection="false">
      <alignment horizontal="general" vertical="bottom" textRotation="0" wrapText="false" indent="0" shrinkToFit="false"/>
      <protection locked="true" hidden="false"/>
    </xf>
    <xf numFmtId="164" fontId="39" fillId="0" borderId="57" xfId="0" applyFont="true" applyBorder="true" applyAlignment="true" applyProtection="false">
      <alignment horizontal="general" vertical="bottom" textRotation="0" wrapText="false" indent="0" shrinkToFit="false"/>
      <protection locked="true" hidden="false"/>
    </xf>
    <xf numFmtId="164" fontId="81" fillId="0" borderId="0" xfId="0" applyFont="true" applyBorder="false" applyAlignment="true" applyProtection="false">
      <alignment horizontal="left" vertical="top" textRotation="0" wrapText="false" indent="0" shrinkToFit="false"/>
      <protection locked="true" hidden="false"/>
    </xf>
    <xf numFmtId="164" fontId="18" fillId="0" borderId="0" xfId="0" applyFont="true" applyBorder="false" applyAlignment="true" applyProtection="false">
      <alignment horizontal="general" vertical="center" textRotation="0" wrapText="false" indent="0" shrinkToFit="false"/>
      <protection locked="true" hidden="false"/>
    </xf>
    <xf numFmtId="164" fontId="71" fillId="0" borderId="31" xfId="0" applyFont="true" applyBorder="true" applyAlignment="true" applyProtection="false">
      <alignment horizontal="general" vertical="bottom" textRotation="0" wrapText="false" indent="0" shrinkToFit="false"/>
      <protection locked="true" hidden="false"/>
    </xf>
    <xf numFmtId="164" fontId="71" fillId="0" borderId="0" xfId="0" applyFont="true" applyBorder="false" applyAlignment="true" applyProtection="false">
      <alignment horizontal="general" vertical="bottom" textRotation="0" wrapText="false" indent="0" shrinkToFit="false"/>
      <protection locked="true" hidden="false"/>
    </xf>
    <xf numFmtId="164" fontId="71" fillId="0" borderId="43" xfId="0" applyFont="true" applyBorder="true" applyAlignment="true" applyProtection="false">
      <alignment horizontal="center" vertical="center" textRotation="0" wrapText="true" indent="0" shrinkToFit="false"/>
      <protection locked="true" hidden="false"/>
    </xf>
    <xf numFmtId="164" fontId="39" fillId="0" borderId="26" xfId="0" applyFont="true" applyBorder="true" applyAlignment="true" applyProtection="false">
      <alignment horizontal="left" vertical="center" textRotation="0" wrapText="false" indent="0" shrinkToFit="false"/>
      <protection locked="true" hidden="false"/>
    </xf>
    <xf numFmtId="164" fontId="39" fillId="0" borderId="58" xfId="0" applyFont="true" applyBorder="true" applyAlignment="true" applyProtection="false">
      <alignment horizontal="general" vertical="bottom" textRotation="0" wrapText="false" indent="0" shrinkToFit="false"/>
      <protection locked="true" hidden="false"/>
    </xf>
    <xf numFmtId="183" fontId="39" fillId="0" borderId="47" xfId="0" applyFont="true" applyBorder="true" applyAlignment="true" applyProtection="false">
      <alignment horizontal="general" vertical="bottom" textRotation="0" wrapText="false" indent="0" shrinkToFit="false"/>
      <protection locked="true" hidden="false"/>
    </xf>
    <xf numFmtId="183" fontId="39" fillId="0" borderId="48" xfId="0" applyFont="true" applyBorder="true" applyAlignment="true" applyProtection="false">
      <alignment horizontal="general" vertical="bottom" textRotation="0" wrapText="false" indent="0" shrinkToFit="false"/>
      <protection locked="true" hidden="false"/>
    </xf>
    <xf numFmtId="183" fontId="72" fillId="0" borderId="23" xfId="0" applyFont="true" applyBorder="true" applyAlignment="true" applyProtection="false">
      <alignment horizontal="general" vertical="bottom" textRotation="0" wrapText="false" indent="0" shrinkToFit="false"/>
      <protection locked="true" hidden="false"/>
    </xf>
    <xf numFmtId="183" fontId="39" fillId="0" borderId="35" xfId="0" applyFont="true" applyBorder="true" applyAlignment="true" applyProtection="false">
      <alignment horizontal="general" vertical="bottom" textRotation="0" wrapText="false" indent="0" shrinkToFit="false"/>
      <protection locked="true" hidden="false"/>
    </xf>
    <xf numFmtId="183" fontId="39" fillId="0" borderId="23" xfId="0" applyFont="true" applyBorder="true" applyAlignment="true" applyProtection="false">
      <alignment horizontal="general" vertical="bottom" textRotation="0" wrapText="false" indent="0" shrinkToFit="false"/>
      <protection locked="true" hidden="false"/>
    </xf>
    <xf numFmtId="184" fontId="39" fillId="0" borderId="23" xfId="0" applyFont="true" applyBorder="true" applyAlignment="true" applyProtection="false">
      <alignment horizontal="general" vertical="bottom" textRotation="0" wrapText="false" indent="0" shrinkToFit="false"/>
      <protection locked="true" hidden="false"/>
    </xf>
    <xf numFmtId="183" fontId="72" fillId="0" borderId="35" xfId="0" applyFont="true" applyBorder="true" applyAlignment="true" applyProtection="false">
      <alignment horizontal="general" vertical="bottom" textRotation="0" wrapText="false" indent="0" shrinkToFit="false"/>
      <protection locked="true" hidden="false"/>
    </xf>
    <xf numFmtId="164" fontId="39" fillId="0" borderId="59" xfId="0" applyFont="true" applyBorder="true" applyAlignment="true" applyProtection="false">
      <alignment horizontal="general" vertical="bottom" textRotation="0" wrapText="false" indent="0" shrinkToFit="false"/>
      <protection locked="true" hidden="false"/>
    </xf>
    <xf numFmtId="164" fontId="39" fillId="0" borderId="60" xfId="0" applyFont="true" applyBorder="true" applyAlignment="true" applyProtection="false">
      <alignment horizontal="general" vertical="bottom" textRotation="0" wrapText="false" indent="0" shrinkToFit="false"/>
      <protection locked="true" hidden="false"/>
    </xf>
    <xf numFmtId="184" fontId="39" fillId="0" borderId="35" xfId="0" applyFont="true" applyBorder="true" applyAlignment="true" applyProtection="false">
      <alignment horizontal="general" vertical="bottom" textRotation="0" wrapText="false" indent="0" shrinkToFit="false"/>
      <protection locked="true" hidden="false"/>
    </xf>
    <xf numFmtId="164" fontId="39" fillId="0" borderId="61" xfId="0" applyFont="true" applyBorder="true" applyAlignment="true" applyProtection="false">
      <alignment horizontal="general" vertical="bottom" textRotation="0" wrapText="false" indent="0" shrinkToFit="false"/>
      <protection locked="true" hidden="false"/>
    </xf>
    <xf numFmtId="183" fontId="72" fillId="0" borderId="41" xfId="0" applyFont="true" applyBorder="true" applyAlignment="true" applyProtection="false">
      <alignment horizontal="general" vertical="bottom" textRotation="0" wrapText="false" indent="0" shrinkToFit="false"/>
      <protection locked="true" hidden="false"/>
    </xf>
    <xf numFmtId="183" fontId="39" fillId="0" borderId="29" xfId="0" applyFont="true" applyBorder="true" applyAlignment="true" applyProtection="false">
      <alignment horizontal="general" vertical="bottom" textRotation="0" wrapText="false" indent="0" shrinkToFit="false"/>
      <protection locked="true" hidden="false"/>
    </xf>
    <xf numFmtId="164" fontId="82" fillId="0" borderId="0" xfId="0" applyFont="true" applyBorder="false" applyAlignment="true" applyProtection="false">
      <alignment horizontal="general" vertical="bottom" textRotation="0" wrapText="true" indent="0" shrinkToFit="false"/>
      <protection locked="true" hidden="false"/>
    </xf>
    <xf numFmtId="164" fontId="71" fillId="0" borderId="49" xfId="0" applyFont="true" applyBorder="true" applyAlignment="true" applyProtection="false">
      <alignment horizontal="general" vertical="bottom" textRotation="0" wrapText="false" indent="0" shrinkToFit="false"/>
      <protection locked="true" hidden="false"/>
    </xf>
    <xf numFmtId="164" fontId="71" fillId="0" borderId="25" xfId="0" applyFont="true" applyBorder="true" applyAlignment="true" applyProtection="false">
      <alignment horizontal="general" vertical="bottom" textRotation="0" wrapText="false" indent="0" shrinkToFit="false"/>
      <protection locked="true" hidden="false"/>
    </xf>
    <xf numFmtId="164" fontId="71" fillId="0" borderId="62" xfId="0" applyFont="true" applyBorder="true" applyAlignment="true" applyProtection="false">
      <alignment horizontal="center" vertical="distributed" textRotation="0" wrapText="true" indent="0" shrinkToFit="false"/>
      <protection locked="true" hidden="false"/>
    </xf>
    <xf numFmtId="164" fontId="71" fillId="0" borderId="62" xfId="0" applyFont="true" applyBorder="true" applyAlignment="true" applyProtection="false">
      <alignment horizontal="center" vertical="bottom" textRotation="0" wrapText="false" indent="0" shrinkToFit="false"/>
      <protection locked="true" hidden="false"/>
    </xf>
    <xf numFmtId="164" fontId="71" fillId="0" borderId="63" xfId="0" applyFont="true" applyBorder="true" applyAlignment="true" applyProtection="false">
      <alignment horizontal="general" vertical="bottom" textRotation="0" wrapText="false" indent="0" shrinkToFit="false"/>
      <protection locked="true" hidden="false"/>
    </xf>
    <xf numFmtId="164" fontId="71" fillId="0" borderId="34" xfId="0" applyFont="true" applyBorder="true" applyAlignment="true" applyProtection="false">
      <alignment horizontal="center" vertical="bottom" textRotation="0" wrapText="false" indent="0" shrinkToFit="false"/>
      <protection locked="true" hidden="false"/>
    </xf>
    <xf numFmtId="164" fontId="71" fillId="0" borderId="64" xfId="0" applyFont="true" applyBorder="true" applyAlignment="true" applyProtection="false">
      <alignment horizontal="center" vertical="bottom" textRotation="0" wrapText="false" indent="0" shrinkToFit="false"/>
      <protection locked="true" hidden="false"/>
    </xf>
    <xf numFmtId="164" fontId="71" fillId="0" borderId="65" xfId="0" applyFont="true" applyBorder="true" applyAlignment="true" applyProtection="false">
      <alignment horizontal="center" vertical="center" textRotation="0" wrapText="true" indent="0" shrinkToFit="false"/>
      <protection locked="true" hidden="false"/>
    </xf>
    <xf numFmtId="164" fontId="71" fillId="0" borderId="51" xfId="0" applyFont="true" applyBorder="true" applyAlignment="true" applyProtection="false">
      <alignment horizontal="center" vertical="center" textRotation="0" wrapText="true" indent="0" shrinkToFit="false"/>
      <protection locked="true" hidden="false"/>
    </xf>
    <xf numFmtId="164" fontId="71" fillId="0" borderId="66" xfId="0" applyFont="true" applyBorder="true" applyAlignment="true" applyProtection="false">
      <alignment horizontal="center" vertical="bottom" textRotation="0" wrapText="false" indent="0" shrinkToFit="false"/>
      <protection locked="true" hidden="false"/>
    </xf>
    <xf numFmtId="164" fontId="71" fillId="0" borderId="52" xfId="0" applyFont="true" applyBorder="true" applyAlignment="true" applyProtection="false">
      <alignment horizontal="center" vertical="bottom" textRotation="0" wrapText="true" indent="0" shrinkToFit="false"/>
      <protection locked="true" hidden="false"/>
    </xf>
    <xf numFmtId="164" fontId="71" fillId="0" borderId="67" xfId="0" applyFont="true" applyBorder="true" applyAlignment="true" applyProtection="false">
      <alignment horizontal="center" vertical="bottom" textRotation="0" wrapText="true" indent="0" shrinkToFit="false"/>
      <protection locked="true" hidden="false"/>
    </xf>
    <xf numFmtId="164" fontId="71" fillId="0" borderId="68" xfId="0" applyFont="true" applyBorder="true" applyAlignment="true" applyProtection="false">
      <alignment horizontal="center" vertical="center" textRotation="0" wrapText="true" indent="0" shrinkToFit="false"/>
      <protection locked="true" hidden="false"/>
    </xf>
    <xf numFmtId="164" fontId="71" fillId="0" borderId="57" xfId="0" applyFont="true" applyBorder="true" applyAlignment="true" applyProtection="false">
      <alignment horizontal="center" vertical="center" textRotation="0" wrapText="true" indent="0" shrinkToFit="false"/>
      <protection locked="true" hidden="false"/>
    </xf>
    <xf numFmtId="164" fontId="71" fillId="0" borderId="67" xfId="0" applyFont="true" applyBorder="true" applyAlignment="true" applyProtection="false">
      <alignment horizontal="center" vertical="center" textRotation="0" wrapText="true" indent="0" shrinkToFit="false"/>
      <protection locked="true" hidden="false"/>
    </xf>
    <xf numFmtId="164" fontId="71" fillId="0" borderId="69" xfId="0" applyFont="true" applyBorder="true" applyAlignment="true" applyProtection="false">
      <alignment horizontal="center" vertical="bottom" textRotation="0" wrapText="true" indent="0" shrinkToFit="false"/>
      <protection locked="true" hidden="false"/>
    </xf>
    <xf numFmtId="164" fontId="39" fillId="0" borderId="54" xfId="0" applyFont="true" applyBorder="true" applyAlignment="true" applyProtection="false">
      <alignment horizontal="general" vertical="bottom" textRotation="0" wrapText="false" indent="0" shrinkToFit="false"/>
      <protection locked="true" hidden="false"/>
    </xf>
    <xf numFmtId="164" fontId="39" fillId="0" borderId="27" xfId="0" applyFont="true" applyBorder="true" applyAlignment="true" applyProtection="false">
      <alignment horizontal="general" vertical="bottom" textRotation="0" wrapText="false" indent="0" shrinkToFit="false"/>
      <protection locked="true" hidden="false"/>
    </xf>
    <xf numFmtId="175" fontId="72" fillId="0" borderId="26" xfId="0" applyFont="true" applyBorder="true" applyAlignment="true" applyProtection="false">
      <alignment horizontal="general" vertical="bottom" textRotation="0" wrapText="false" indent="0" shrinkToFit="false"/>
      <protection locked="true" hidden="false"/>
    </xf>
    <xf numFmtId="176" fontId="72" fillId="0" borderId="33" xfId="0" applyFont="true" applyBorder="true" applyAlignment="true" applyProtection="false">
      <alignment horizontal="general" vertical="bottom" textRotation="0" wrapText="false" indent="0" shrinkToFit="false"/>
      <protection locked="true" hidden="false"/>
    </xf>
    <xf numFmtId="176" fontId="72" fillId="0" borderId="70" xfId="0" applyFont="true" applyBorder="true" applyAlignment="true" applyProtection="false">
      <alignment horizontal="general" vertical="bottom" textRotation="0" wrapText="false" indent="0" shrinkToFit="false"/>
      <protection locked="true" hidden="false"/>
    </xf>
    <xf numFmtId="176" fontId="72" fillId="0" borderId="27" xfId="0" applyFont="true" applyBorder="true" applyAlignment="true" applyProtection="false">
      <alignment horizontal="general" vertical="bottom" textRotation="0" wrapText="false" indent="0" shrinkToFit="false"/>
      <protection locked="true" hidden="false"/>
    </xf>
    <xf numFmtId="171" fontId="72" fillId="0" borderId="62" xfId="0" applyFont="true" applyBorder="true" applyAlignment="true" applyProtection="false">
      <alignment horizontal="general" vertical="bottom" textRotation="0" wrapText="false" indent="0" shrinkToFit="false"/>
      <protection locked="true" hidden="false"/>
    </xf>
    <xf numFmtId="164" fontId="39" fillId="0" borderId="55" xfId="0" applyFont="true" applyBorder="true" applyAlignment="true" applyProtection="false">
      <alignment horizontal="general" vertical="bottom" textRotation="0" wrapText="false" indent="0" shrinkToFit="false"/>
      <protection locked="true" hidden="false"/>
    </xf>
    <xf numFmtId="164" fontId="39" fillId="0" borderId="35" xfId="0" applyFont="true" applyBorder="true" applyAlignment="true" applyProtection="false">
      <alignment horizontal="general" vertical="bottom" textRotation="0" wrapText="false" indent="0" shrinkToFit="false"/>
      <protection locked="true" hidden="false"/>
    </xf>
    <xf numFmtId="175" fontId="72" fillId="0" borderId="38" xfId="0" applyFont="true" applyBorder="true" applyAlignment="true" applyProtection="false">
      <alignment horizontal="general" vertical="bottom" textRotation="0" wrapText="false" indent="0" shrinkToFit="false"/>
      <protection locked="true" hidden="false"/>
    </xf>
    <xf numFmtId="176" fontId="72" fillId="0" borderId="23" xfId="0" applyFont="true" applyBorder="true" applyAlignment="true" applyProtection="false">
      <alignment horizontal="general" vertical="bottom" textRotation="0" wrapText="false" indent="0" shrinkToFit="false"/>
      <protection locked="true" hidden="false"/>
    </xf>
    <xf numFmtId="176" fontId="72" fillId="0" borderId="31" xfId="0" applyFont="true" applyBorder="true" applyAlignment="true" applyProtection="false">
      <alignment horizontal="general" vertical="bottom" textRotation="0" wrapText="false" indent="0" shrinkToFit="false"/>
      <protection locked="true" hidden="false"/>
    </xf>
    <xf numFmtId="176" fontId="72" fillId="0" borderId="35" xfId="0" applyFont="true" applyBorder="true" applyAlignment="true" applyProtection="false">
      <alignment horizontal="general" vertical="bottom" textRotation="0" wrapText="false" indent="0" shrinkToFit="false"/>
      <protection locked="true" hidden="false"/>
    </xf>
    <xf numFmtId="171" fontId="72" fillId="0" borderId="71" xfId="0" applyFont="true" applyBorder="true" applyAlignment="true" applyProtection="false">
      <alignment horizontal="general" vertical="bottom" textRotation="0" wrapText="false" indent="0" shrinkToFit="false"/>
      <protection locked="true" hidden="false"/>
    </xf>
    <xf numFmtId="164" fontId="39" fillId="0" borderId="72" xfId="0" applyFont="true" applyBorder="true" applyAlignment="true" applyProtection="false">
      <alignment horizontal="general" vertical="bottom" textRotation="0" wrapText="false" indent="0" shrinkToFit="false"/>
      <protection locked="true" hidden="false"/>
    </xf>
    <xf numFmtId="164" fontId="39" fillId="0" borderId="29" xfId="0" applyFont="true" applyBorder="true" applyAlignment="true" applyProtection="false">
      <alignment horizontal="general" vertical="bottom" textRotation="0" wrapText="false" indent="0" shrinkToFit="false"/>
      <protection locked="true" hidden="false"/>
    </xf>
    <xf numFmtId="175" fontId="72" fillId="0" borderId="28" xfId="0" applyFont="true" applyBorder="true" applyAlignment="true" applyProtection="false">
      <alignment horizontal="general" vertical="bottom" textRotation="0" wrapText="false" indent="0" shrinkToFit="false"/>
      <protection locked="true" hidden="false"/>
    </xf>
    <xf numFmtId="176" fontId="72" fillId="0" borderId="41" xfId="0" applyFont="true" applyBorder="true" applyAlignment="true" applyProtection="false">
      <alignment horizontal="general" vertical="bottom" textRotation="0" wrapText="false" indent="0" shrinkToFit="false"/>
      <protection locked="true" hidden="false"/>
    </xf>
    <xf numFmtId="176" fontId="72" fillId="0" borderId="73" xfId="0" applyFont="true" applyBorder="true" applyAlignment="true" applyProtection="false">
      <alignment horizontal="general" vertical="bottom" textRotation="0" wrapText="false" indent="0" shrinkToFit="false"/>
      <protection locked="true" hidden="false"/>
    </xf>
    <xf numFmtId="176" fontId="72" fillId="0" borderId="29" xfId="0" applyFont="true" applyBorder="true" applyAlignment="true" applyProtection="false">
      <alignment horizontal="general" vertical="bottom" textRotation="0" wrapText="false" indent="0" shrinkToFit="false"/>
      <protection locked="true" hidden="false"/>
    </xf>
    <xf numFmtId="171" fontId="72" fillId="0" borderId="74" xfId="0" applyFont="true" applyBorder="true" applyAlignment="true" applyProtection="false">
      <alignment horizontal="general" vertical="bottom" textRotation="0" wrapText="false" indent="0" shrinkToFit="false"/>
      <protection locked="true" hidden="false"/>
    </xf>
    <xf numFmtId="164" fontId="38" fillId="0" borderId="75" xfId="0" applyFont="true" applyBorder="true" applyAlignment="true" applyProtection="false">
      <alignment horizontal="left" vertical="top" textRotation="0" wrapText="false" indent="0" shrinkToFit="false"/>
      <protection locked="true" hidden="false"/>
    </xf>
    <xf numFmtId="164" fontId="81" fillId="0" borderId="75" xfId="0" applyFont="true" applyBorder="true" applyAlignment="true" applyProtection="false">
      <alignment horizontal="left" vertical="top" textRotation="0" wrapText="true" indent="0" shrinkToFit="false"/>
      <protection locked="true" hidden="false"/>
    </xf>
    <xf numFmtId="164" fontId="38" fillId="0" borderId="75" xfId="0" applyFont="true" applyBorder="true" applyAlignment="true" applyProtection="false">
      <alignment horizontal="left" vertical="top" textRotation="0" wrapText="true" indent="0" shrinkToFit="false"/>
      <protection locked="true" hidden="false"/>
    </xf>
    <xf numFmtId="164" fontId="77" fillId="0" borderId="0" xfId="0" applyFont="true" applyBorder="false" applyAlignment="true" applyProtection="false">
      <alignment horizontal="left" vertical="top" textRotation="0" wrapText="false" indent="0" shrinkToFit="false"/>
      <protection locked="true" hidden="false"/>
    </xf>
    <xf numFmtId="179" fontId="81" fillId="0" borderId="0" xfId="0" applyFont="true" applyBorder="false" applyAlignment="true" applyProtection="false">
      <alignment horizontal="general" vertical="bottom" textRotation="0" wrapText="false" indent="0" shrinkToFit="false"/>
      <protection locked="true" hidden="false"/>
    </xf>
    <xf numFmtId="164" fontId="74" fillId="0" borderId="0" xfId="0" applyFont="true" applyBorder="true" applyAlignment="true" applyProtection="false">
      <alignment horizontal="left" vertical="top" textRotation="0" wrapText="true" indent="0" shrinkToFit="false"/>
      <protection locked="true" hidden="false"/>
    </xf>
    <xf numFmtId="164" fontId="38" fillId="0" borderId="0" xfId="0" applyFont="true" applyBorder="false" applyAlignment="true" applyProtection="false">
      <alignment horizontal="left" vertical="top" textRotation="0" wrapText="false" indent="0" shrinkToFit="false"/>
      <protection locked="true" hidden="false"/>
    </xf>
    <xf numFmtId="164" fontId="77" fillId="0" borderId="0" xfId="0" applyFont="true" applyBorder="false" applyAlignment="true" applyProtection="false">
      <alignment horizontal="left" vertical="top" textRotation="0" wrapText="false" indent="2" shrinkToFit="false"/>
      <protection locked="true" hidden="false"/>
    </xf>
    <xf numFmtId="164" fontId="73" fillId="0" borderId="31" xfId="0" applyFont="true" applyBorder="true" applyAlignment="true" applyProtection="false">
      <alignment horizontal="general" vertical="bottom" textRotation="0" wrapText="false" indent="0" shrinkToFit="false"/>
      <protection locked="true" hidden="false"/>
    </xf>
    <xf numFmtId="164" fontId="71" fillId="0" borderId="76" xfId="0" applyFont="true" applyBorder="true" applyAlignment="true" applyProtection="false">
      <alignment horizontal="center" vertical="center" textRotation="0" wrapText="true" indent="0" shrinkToFit="false"/>
      <protection locked="true" hidden="false"/>
    </xf>
    <xf numFmtId="164" fontId="39" fillId="0" borderId="68" xfId="0" applyFont="true" applyBorder="true" applyAlignment="true" applyProtection="false">
      <alignment horizontal="general" vertical="bottom" textRotation="0" wrapText="false" indent="0" shrinkToFit="false"/>
      <protection locked="true" hidden="false"/>
    </xf>
    <xf numFmtId="176" fontId="39" fillId="0" borderId="41" xfId="0" applyFont="true" applyBorder="true" applyAlignment="true" applyProtection="false">
      <alignment horizontal="general" vertical="center" textRotation="0" wrapText="false" indent="0" shrinkToFit="false"/>
      <protection locked="true" hidden="false"/>
    </xf>
    <xf numFmtId="176" fontId="39" fillId="0" borderId="29" xfId="0" applyFont="true" applyBorder="true" applyAlignment="true" applyProtection="false">
      <alignment horizontal="general" vertical="center" textRotation="0" wrapText="false" indent="0" shrinkToFit="false"/>
      <protection locked="true" hidden="false"/>
    </xf>
    <xf numFmtId="164" fontId="39" fillId="0" borderId="77" xfId="0" applyFont="true" applyBorder="true" applyAlignment="true" applyProtection="false">
      <alignment horizontal="left" vertical="bottom" textRotation="0" wrapText="true" indent="0" shrinkToFit="false"/>
      <protection locked="true" hidden="false"/>
    </xf>
    <xf numFmtId="164" fontId="76" fillId="0" borderId="0" xfId="0" applyFont="true" applyBorder="false" applyAlignment="true" applyProtection="false">
      <alignment horizontal="left" vertical="center" textRotation="0" wrapText="false" indent="2" shrinkToFit="false"/>
      <protection locked="true" hidden="false"/>
    </xf>
    <xf numFmtId="164" fontId="73" fillId="0" borderId="0" xfId="0" applyFont="true" applyBorder="false" applyAlignment="true" applyProtection="false">
      <alignment horizontal="center" vertical="bottom" textRotation="0" wrapText="false" indent="0" shrinkToFit="false"/>
      <protection locked="true" hidden="false"/>
    </xf>
    <xf numFmtId="164" fontId="39" fillId="0" borderId="77" xfId="0" applyFont="true" applyBorder="true" applyAlignment="true" applyProtection="false">
      <alignment horizontal="left" vertical="center" textRotation="0" wrapText="true" indent="0" shrinkToFit="false"/>
      <protection locked="true" hidden="false"/>
    </xf>
    <xf numFmtId="164" fontId="39" fillId="0" borderId="26" xfId="0" applyFont="true" applyBorder="true" applyAlignment="true" applyProtection="false">
      <alignment horizontal="general" vertical="bottom" textRotation="0" wrapText="false" indent="0" shrinkToFit="false"/>
      <protection locked="true" hidden="false"/>
    </xf>
    <xf numFmtId="170" fontId="83" fillId="0" borderId="33" xfId="0" applyFont="true" applyBorder="true" applyAlignment="true" applyProtection="false">
      <alignment horizontal="general" vertical="center" textRotation="0" wrapText="false" indent="0" shrinkToFit="false"/>
      <protection locked="true" hidden="false"/>
    </xf>
    <xf numFmtId="185" fontId="83" fillId="0" borderId="33" xfId="0" applyFont="true" applyBorder="true" applyAlignment="true" applyProtection="false">
      <alignment horizontal="general" vertical="center" textRotation="0" wrapText="false" indent="0" shrinkToFit="false"/>
      <protection locked="true" hidden="false"/>
    </xf>
    <xf numFmtId="164" fontId="39" fillId="0" borderId="27" xfId="0" applyFont="true" applyBorder="true" applyAlignment="true" applyProtection="false">
      <alignment horizontal="general" vertical="center" textRotation="0" wrapText="false" indent="0" shrinkToFit="false"/>
      <protection locked="true" hidden="false"/>
    </xf>
    <xf numFmtId="170" fontId="69" fillId="0" borderId="0" xfId="0" applyFont="true" applyBorder="false" applyAlignment="true" applyProtection="false">
      <alignment horizontal="general" vertical="bottom" textRotation="0" wrapText="false" indent="0" shrinkToFit="false"/>
      <protection locked="true" hidden="false"/>
    </xf>
    <xf numFmtId="185" fontId="69" fillId="0" borderId="0" xfId="0" applyFont="true" applyBorder="false" applyAlignment="true" applyProtection="false">
      <alignment horizontal="general" vertical="bottom" textRotation="0" wrapText="false" indent="0" shrinkToFit="false"/>
      <protection locked="true" hidden="false"/>
    </xf>
    <xf numFmtId="164" fontId="39" fillId="0" borderId="46" xfId="0" applyFont="true" applyBorder="true" applyAlignment="true" applyProtection="false">
      <alignment horizontal="general" vertical="bottom" textRotation="0" wrapText="false" indent="0" shrinkToFit="false"/>
      <protection locked="true" hidden="false"/>
    </xf>
    <xf numFmtId="170" fontId="83" fillId="0" borderId="23" xfId="0" applyFont="true" applyBorder="true" applyAlignment="true" applyProtection="false">
      <alignment horizontal="general" vertical="center" textRotation="0" wrapText="false" indent="0" shrinkToFit="false"/>
      <protection locked="true" hidden="false"/>
    </xf>
    <xf numFmtId="185" fontId="83" fillId="0" borderId="23" xfId="0" applyFont="true" applyBorder="true" applyAlignment="true" applyProtection="false">
      <alignment horizontal="general" vertical="center" textRotation="0" wrapText="false" indent="0" shrinkToFit="false"/>
      <protection locked="true" hidden="false"/>
    </xf>
    <xf numFmtId="164" fontId="39" fillId="0" borderId="48" xfId="0" applyFont="true" applyBorder="true" applyAlignment="true" applyProtection="false">
      <alignment horizontal="general" vertical="center" textRotation="0" wrapText="false" indent="0" shrinkToFit="false"/>
      <protection locked="true" hidden="false"/>
    </xf>
    <xf numFmtId="170" fontId="83" fillId="0" borderId="41" xfId="0" applyFont="true" applyBorder="true" applyAlignment="true" applyProtection="false">
      <alignment horizontal="general" vertical="center" textRotation="0" wrapText="false" indent="0" shrinkToFit="false"/>
      <protection locked="true" hidden="false"/>
    </xf>
    <xf numFmtId="185" fontId="83" fillId="0" borderId="41" xfId="0" applyFont="true" applyBorder="true" applyAlignment="true" applyProtection="false">
      <alignment horizontal="general" vertical="center" textRotation="0" wrapText="false" indent="0" shrinkToFit="false"/>
      <protection locked="true" hidden="false"/>
    </xf>
    <xf numFmtId="164" fontId="39" fillId="0" borderId="29" xfId="0" applyFont="true" applyBorder="true" applyAlignment="true" applyProtection="false">
      <alignment horizontal="general" vertical="center" textRotation="0" wrapText="false" indent="0" shrinkToFit="false"/>
      <protection locked="true" hidden="false"/>
    </xf>
    <xf numFmtId="164" fontId="39" fillId="0" borderId="35" xfId="0" applyFont="true" applyBorder="true" applyAlignment="true" applyProtection="false">
      <alignment horizontal="general" vertical="center" textRotation="0" wrapText="false" indent="0" shrinkToFit="false"/>
      <protection locked="true" hidden="false"/>
    </xf>
    <xf numFmtId="164" fontId="39" fillId="0" borderId="41" xfId="0" applyFont="true" applyBorder="true" applyAlignment="true" applyProtection="false">
      <alignment horizontal="right" vertical="center" textRotation="0" wrapText="false" indent="0" shrinkToFit="false"/>
      <protection locked="true" hidden="false"/>
    </xf>
    <xf numFmtId="164" fontId="38" fillId="0" borderId="0" xfId="0" applyFont="true" applyBorder="true" applyAlignment="true" applyProtection="false">
      <alignment horizontal="left" vertical="center" textRotation="0" wrapText="true" indent="0" shrinkToFit="false"/>
      <protection locked="true" hidden="false"/>
    </xf>
    <xf numFmtId="164" fontId="79" fillId="0" borderId="0" xfId="0" applyFont="true" applyBorder="false" applyAlignment="true" applyProtection="false">
      <alignment horizontal="general" vertical="center" textRotation="0" wrapText="false" indent="0" shrinkToFit="false"/>
      <protection locked="true" hidden="false"/>
    </xf>
    <xf numFmtId="183" fontId="39" fillId="0" borderId="0" xfId="0" applyFont="true" applyBorder="false" applyAlignment="true" applyProtection="false">
      <alignment horizontal="general" vertical="center" textRotation="0" wrapText="false" indent="0" shrinkToFit="false"/>
      <protection locked="true" hidden="false"/>
    </xf>
    <xf numFmtId="183" fontId="71" fillId="0" borderId="78" xfId="0" applyFont="true" applyBorder="true" applyAlignment="true" applyProtection="false">
      <alignment horizontal="center" vertical="center" textRotation="0" wrapText="false" indent="0" shrinkToFit="false"/>
      <protection locked="true" hidden="false"/>
    </xf>
    <xf numFmtId="183" fontId="71" fillId="0" borderId="43" xfId="0" applyFont="true" applyBorder="true" applyAlignment="true" applyProtection="false">
      <alignment horizontal="center" vertical="center" textRotation="0" wrapText="true" indent="0" shrinkToFit="false"/>
      <protection locked="true" hidden="false"/>
    </xf>
    <xf numFmtId="183" fontId="71" fillId="0" borderId="44" xfId="0" applyFont="true" applyBorder="true" applyAlignment="true" applyProtection="false">
      <alignment horizontal="center" vertical="center" textRotation="0" wrapText="true" indent="0" shrinkToFit="false"/>
      <protection locked="true" hidden="false"/>
    </xf>
    <xf numFmtId="183" fontId="71" fillId="0" borderId="45" xfId="0" applyFont="true" applyBorder="true" applyAlignment="true" applyProtection="false">
      <alignment horizontal="center" vertical="center" textRotation="0" wrapText="true" indent="0" shrinkToFit="false"/>
      <protection locked="true" hidden="false"/>
    </xf>
    <xf numFmtId="186" fontId="39" fillId="0" borderId="26" xfId="0" applyFont="true" applyBorder="true" applyAlignment="true" applyProtection="false">
      <alignment horizontal="general" vertical="bottom" textRotation="0" wrapText="false" indent="0" shrinkToFit="false"/>
      <protection locked="true" hidden="false"/>
    </xf>
    <xf numFmtId="173" fontId="39" fillId="0" borderId="33" xfId="0" applyFont="true" applyBorder="true" applyAlignment="true" applyProtection="false">
      <alignment horizontal="right" vertical="bottom" textRotation="0" wrapText="false" indent="0" shrinkToFit="false"/>
      <protection locked="true" hidden="false"/>
    </xf>
    <xf numFmtId="173" fontId="84" fillId="0" borderId="23" xfId="0" applyFont="true" applyBorder="true" applyAlignment="true" applyProtection="false">
      <alignment horizontal="right" vertical="bottom" textRotation="0" wrapText="false" indent="0" shrinkToFit="false"/>
      <protection locked="true" hidden="false"/>
    </xf>
    <xf numFmtId="164" fontId="39" fillId="0" borderId="33" xfId="0" applyFont="true" applyBorder="true" applyAlignment="true" applyProtection="false">
      <alignment horizontal="right" vertical="bottom" textRotation="0" wrapText="false" indent="0" shrinkToFit="false"/>
      <protection locked="true" hidden="false"/>
    </xf>
    <xf numFmtId="164" fontId="39" fillId="0" borderId="27" xfId="0" applyFont="true" applyBorder="true" applyAlignment="true" applyProtection="false">
      <alignment horizontal="right" vertical="bottom" textRotation="0" wrapText="false" indent="0" shrinkToFit="false"/>
      <protection locked="true" hidden="false"/>
    </xf>
    <xf numFmtId="186" fontId="39" fillId="0" borderId="38" xfId="0" applyFont="true" applyBorder="true" applyAlignment="true" applyProtection="false">
      <alignment horizontal="general" vertical="bottom" textRotation="0" wrapText="false" indent="0" shrinkToFit="false"/>
      <protection locked="true" hidden="false"/>
    </xf>
    <xf numFmtId="173" fontId="39" fillId="0" borderId="23" xfId="0" applyFont="true" applyBorder="true" applyAlignment="true" applyProtection="false">
      <alignment horizontal="right" vertical="bottom" textRotation="0" wrapText="false" indent="0" shrinkToFit="false"/>
      <protection locked="true" hidden="false"/>
    </xf>
    <xf numFmtId="164" fontId="39" fillId="0" borderId="23" xfId="0" applyFont="true" applyBorder="true" applyAlignment="true" applyProtection="false">
      <alignment horizontal="right" vertical="bottom" textRotation="0" wrapText="false" indent="0" shrinkToFit="false"/>
      <protection locked="true" hidden="false"/>
    </xf>
    <xf numFmtId="164" fontId="39" fillId="0" borderId="35" xfId="0" applyFont="true" applyBorder="true" applyAlignment="true" applyProtection="false">
      <alignment horizontal="right" vertical="bottom" textRotation="0" wrapText="false" indent="0" shrinkToFit="false"/>
      <protection locked="true" hidden="false"/>
    </xf>
    <xf numFmtId="183" fontId="39" fillId="0" borderId="23" xfId="0" applyFont="true" applyBorder="true" applyAlignment="true" applyProtection="false">
      <alignment horizontal="right" vertical="bottom" textRotation="0" wrapText="false" indent="0" shrinkToFit="false"/>
      <protection locked="true" hidden="false"/>
    </xf>
    <xf numFmtId="183" fontId="39" fillId="0" borderId="35" xfId="0" applyFont="true" applyBorder="true" applyAlignment="true" applyProtection="false">
      <alignment horizontal="right" vertical="bottom" textRotation="0" wrapText="false" indent="0" shrinkToFit="false"/>
      <protection locked="true" hidden="false"/>
    </xf>
    <xf numFmtId="176" fontId="39" fillId="0" borderId="23" xfId="0" applyFont="true" applyBorder="true" applyAlignment="true" applyProtection="false">
      <alignment horizontal="right" vertical="bottom" textRotation="0" wrapText="false" indent="0" shrinkToFit="false"/>
      <protection locked="true" hidden="false"/>
    </xf>
    <xf numFmtId="186" fontId="39" fillId="0" borderId="28" xfId="0" applyFont="true" applyBorder="true" applyAlignment="true" applyProtection="false">
      <alignment horizontal="general" vertical="bottom" textRotation="0" wrapText="false" indent="0" shrinkToFit="false"/>
      <protection locked="true" hidden="false"/>
    </xf>
    <xf numFmtId="173" fontId="39" fillId="0" borderId="41" xfId="0" applyFont="true" applyBorder="true" applyAlignment="true" applyProtection="false">
      <alignment horizontal="right" vertical="bottom" textRotation="0" wrapText="false" indent="0" shrinkToFit="false"/>
      <protection locked="true" hidden="false"/>
    </xf>
    <xf numFmtId="164" fontId="39" fillId="0" borderId="41" xfId="0" applyFont="true" applyBorder="true" applyAlignment="true" applyProtection="false">
      <alignment horizontal="right" vertical="bottom" textRotation="0" wrapText="false" indent="0" shrinkToFit="false"/>
      <protection locked="true" hidden="false"/>
    </xf>
    <xf numFmtId="164" fontId="39" fillId="0" borderId="29" xfId="0" applyFont="true" applyBorder="true" applyAlignment="true" applyProtection="false">
      <alignment horizontal="right" vertical="bottom" textRotation="0" wrapText="false" indent="0" shrinkToFit="false"/>
      <protection locked="true" hidden="false"/>
    </xf>
    <xf numFmtId="164" fontId="77" fillId="0" borderId="0" xfId="0" applyFont="true" applyBorder="true" applyAlignment="true" applyProtection="false">
      <alignment horizontal="left" vertical="top" textRotation="0" wrapText="true" indent="0" shrinkToFit="false"/>
      <protection locked="true" hidden="false"/>
    </xf>
    <xf numFmtId="164" fontId="73" fillId="0" borderId="30" xfId="0" applyFont="true" applyBorder="true" applyAlignment="true" applyProtection="false">
      <alignment horizontal="left" vertical="bottom" textRotation="0" wrapText="false" indent="0" shrinkToFit="false"/>
      <protection locked="true" hidden="false"/>
    </xf>
    <xf numFmtId="164" fontId="73" fillId="0" borderId="31" xfId="0" applyFont="true" applyBorder="true" applyAlignment="true" applyProtection="false">
      <alignment horizontal="left" vertical="bottom" textRotation="0" wrapText="true" indent="0" shrinkToFit="false"/>
      <protection locked="true" hidden="false"/>
    </xf>
    <xf numFmtId="164" fontId="73" fillId="0" borderId="0" xfId="0" applyFont="true" applyBorder="false" applyAlignment="true" applyProtection="false">
      <alignment horizontal="center" vertical="center" textRotation="0" wrapText="false" indent="0" shrinkToFit="false"/>
      <protection locked="true" hidden="false"/>
    </xf>
    <xf numFmtId="164" fontId="39" fillId="0" borderId="0" xfId="0" applyFont="true" applyBorder="true" applyAlignment="true" applyProtection="false">
      <alignment horizontal="left" vertical="center" textRotation="0" wrapText="true" indent="0" shrinkToFit="false"/>
      <protection locked="true" hidden="false"/>
    </xf>
    <xf numFmtId="164" fontId="39" fillId="0" borderId="26" xfId="0" applyFont="true" applyBorder="true" applyAlignment="true" applyProtection="false">
      <alignment horizontal="general" vertical="center" textRotation="0" wrapText="false" indent="0" shrinkToFit="false"/>
      <protection locked="true" hidden="false"/>
    </xf>
    <xf numFmtId="176" fontId="83" fillId="0" borderId="33" xfId="0" applyFont="true" applyBorder="true" applyAlignment="true" applyProtection="false">
      <alignment horizontal="general" vertical="center" textRotation="0" wrapText="false" indent="0" shrinkToFit="false"/>
      <protection locked="true" hidden="false"/>
    </xf>
    <xf numFmtId="180" fontId="83" fillId="0" borderId="33" xfId="0" applyFont="true" applyBorder="true" applyAlignment="true" applyProtection="false">
      <alignment horizontal="general" vertical="center" textRotation="0" wrapText="false" indent="0" shrinkToFit="false"/>
      <protection locked="true" hidden="false"/>
    </xf>
    <xf numFmtId="180" fontId="69" fillId="0" borderId="0" xfId="0" applyFont="true" applyBorder="false" applyAlignment="true" applyProtection="false">
      <alignment horizontal="general" vertical="bottom" textRotation="0" wrapText="false" indent="0" shrinkToFit="false"/>
      <protection locked="true" hidden="false"/>
    </xf>
    <xf numFmtId="176" fontId="83" fillId="0" borderId="23" xfId="0" applyFont="true" applyBorder="true" applyAlignment="true" applyProtection="false">
      <alignment horizontal="general" vertical="center" textRotation="0" wrapText="false" indent="0" shrinkToFit="false"/>
      <protection locked="true" hidden="false"/>
    </xf>
    <xf numFmtId="180" fontId="83" fillId="0" borderId="23" xfId="0" applyFont="true" applyBorder="true" applyAlignment="true" applyProtection="false">
      <alignment horizontal="general" vertical="center" textRotation="0" wrapText="false" indent="0" shrinkToFit="false"/>
      <protection locked="true" hidden="false"/>
    </xf>
    <xf numFmtId="176" fontId="83" fillId="0" borderId="41" xfId="0" applyFont="true" applyBorder="true" applyAlignment="true" applyProtection="false">
      <alignment horizontal="general" vertical="center" textRotation="0" wrapText="false" indent="0" shrinkToFit="false"/>
      <protection locked="true" hidden="false"/>
    </xf>
    <xf numFmtId="180" fontId="83" fillId="0" borderId="41" xfId="0" applyFont="true" applyBorder="true" applyAlignment="true" applyProtection="false">
      <alignment horizontal="general" vertical="center" textRotation="0" wrapText="false" indent="0" shrinkToFit="false"/>
      <protection locked="true" hidden="false"/>
    </xf>
    <xf numFmtId="164" fontId="85" fillId="0" borderId="46" xfId="0" applyFont="true" applyBorder="true" applyAlignment="true" applyProtection="false">
      <alignment horizontal="general" vertical="center" textRotation="0" wrapText="false" indent="0" shrinkToFit="false"/>
      <protection locked="true" hidden="false"/>
    </xf>
    <xf numFmtId="176" fontId="83" fillId="0" borderId="56" xfId="0" applyFont="true" applyBorder="true" applyAlignment="true" applyProtection="false">
      <alignment horizontal="general" vertical="center" textRotation="0" wrapText="false" indent="0" shrinkToFit="false"/>
      <protection locked="true" hidden="false"/>
    </xf>
    <xf numFmtId="180" fontId="83" fillId="0" borderId="56" xfId="0" applyFont="true" applyBorder="true" applyAlignment="true" applyProtection="false">
      <alignment horizontal="general" vertical="center" textRotation="0" wrapText="false" indent="0" shrinkToFit="false"/>
      <protection locked="true" hidden="false"/>
    </xf>
    <xf numFmtId="185" fontId="39" fillId="0" borderId="0" xfId="0" applyFont="true" applyBorder="false" applyAlignment="true" applyProtection="false">
      <alignment horizontal="general" vertical="bottom" textRotation="0" wrapText="false" indent="0" shrinkToFit="false"/>
      <protection locked="true" hidden="false"/>
    </xf>
    <xf numFmtId="164" fontId="85" fillId="0" borderId="79" xfId="0" applyFont="true" applyBorder="true" applyAlignment="true" applyProtection="false">
      <alignment horizontal="general" vertical="center" textRotation="0" wrapText="false" indent="0" shrinkToFit="false"/>
      <protection locked="true" hidden="false"/>
    </xf>
    <xf numFmtId="164" fontId="85" fillId="0" borderId="55" xfId="0" applyFont="true" applyBorder="true" applyAlignment="true" applyProtection="false">
      <alignment horizontal="general" vertical="center" textRotation="0" wrapText="false" indent="0" shrinkToFit="false"/>
      <protection locked="true" hidden="false"/>
    </xf>
    <xf numFmtId="176" fontId="39" fillId="0" borderId="50" xfId="0" applyFont="true" applyBorder="true" applyAlignment="true" applyProtection="false">
      <alignment horizontal="general" vertical="center" textRotation="0" wrapText="false" indent="0" shrinkToFit="false"/>
      <protection locked="true" hidden="false"/>
    </xf>
    <xf numFmtId="180" fontId="39" fillId="0" borderId="50" xfId="0" applyFont="true" applyBorder="true" applyAlignment="true" applyProtection="false">
      <alignment horizontal="general" vertical="center" textRotation="0" wrapText="false" indent="0" shrinkToFit="false"/>
      <protection locked="true" hidden="false"/>
    </xf>
    <xf numFmtId="164" fontId="39" fillId="0" borderId="72" xfId="0" applyFont="true" applyBorder="true" applyAlignment="true" applyProtection="false">
      <alignment horizontal="general" vertical="center" textRotation="0" wrapText="false" indent="0" shrinkToFit="false"/>
      <protection locked="true" hidden="false"/>
    </xf>
    <xf numFmtId="180" fontId="39" fillId="0" borderId="41" xfId="0" applyFont="true" applyBorder="true" applyAlignment="true" applyProtection="false">
      <alignment horizontal="general" vertical="center" textRotation="0" wrapText="false" indent="0" shrinkToFit="false"/>
      <protection locked="true" hidden="false"/>
    </xf>
    <xf numFmtId="164" fontId="39" fillId="0" borderId="79" xfId="0" applyFont="true" applyBorder="true" applyAlignment="true" applyProtection="false">
      <alignment horizontal="general" vertical="center" textRotation="0" wrapText="false" indent="0" shrinkToFit="false"/>
      <protection locked="true" hidden="false"/>
    </xf>
    <xf numFmtId="176" fontId="83" fillId="0" borderId="47" xfId="0" applyFont="true" applyBorder="true" applyAlignment="true" applyProtection="false">
      <alignment horizontal="general" vertical="center" textRotation="0" wrapText="false" indent="0" shrinkToFit="false"/>
      <protection locked="true" hidden="false"/>
    </xf>
    <xf numFmtId="180" fontId="83" fillId="0" borderId="47" xfId="0" applyFont="true" applyBorder="true" applyAlignment="true" applyProtection="false">
      <alignment horizontal="general" vertical="center" textRotation="0" wrapText="false" indent="0" shrinkToFit="false"/>
      <protection locked="true" hidden="false"/>
    </xf>
    <xf numFmtId="176" fontId="39" fillId="0" borderId="47" xfId="0" applyFont="true" applyBorder="true" applyAlignment="true" applyProtection="false">
      <alignment horizontal="general" vertical="center" textRotation="0" wrapText="false" indent="0" shrinkToFit="false"/>
      <protection locked="true" hidden="false"/>
    </xf>
    <xf numFmtId="180" fontId="39" fillId="0" borderId="47" xfId="0" applyFont="true" applyBorder="true" applyAlignment="true" applyProtection="false">
      <alignment horizontal="general" vertical="center" textRotation="0" wrapText="false" indent="0" shrinkToFit="false"/>
      <protection locked="true" hidden="false"/>
    </xf>
    <xf numFmtId="180" fontId="39" fillId="0" borderId="23" xfId="0" applyFont="true" applyBorder="true" applyAlignment="true" applyProtection="false">
      <alignment horizontal="general" vertical="center" textRotation="0" wrapText="false" indent="0" shrinkToFit="false"/>
      <protection locked="true" hidden="false"/>
    </xf>
    <xf numFmtId="164" fontId="39" fillId="0" borderId="38" xfId="0" applyFont="true" applyBorder="true" applyAlignment="true" applyProtection="false">
      <alignment horizontal="general" vertical="center" textRotation="0" wrapText="true" indent="0" shrinkToFit="false"/>
      <protection locked="true" hidden="false"/>
    </xf>
    <xf numFmtId="176" fontId="39" fillId="0" borderId="23" xfId="0" applyFont="true" applyBorder="true" applyAlignment="true" applyProtection="false">
      <alignment horizontal="general" vertical="center" textRotation="0" wrapText="false" indent="0" shrinkToFit="false"/>
      <protection locked="true" hidden="false"/>
    </xf>
    <xf numFmtId="164" fontId="39" fillId="0" borderId="28" xfId="0" applyFont="true" applyBorder="true" applyAlignment="true" applyProtection="false">
      <alignment horizontal="general" vertical="center" textRotation="0" wrapText="true" indent="0" shrinkToFit="false"/>
      <protection locked="true" hidden="false"/>
    </xf>
    <xf numFmtId="180" fontId="39" fillId="0" borderId="57" xfId="0" applyFont="true" applyBorder="true" applyAlignment="true" applyProtection="false">
      <alignment horizontal="general" vertical="center" textRotation="0" wrapText="false" indent="0" shrinkToFit="false"/>
      <protection locked="true" hidden="false"/>
    </xf>
    <xf numFmtId="164" fontId="71" fillId="0" borderId="49" xfId="0" applyFont="true" applyBorder="true" applyAlignment="true" applyProtection="false">
      <alignment horizontal="center" vertical="center" textRotation="0" wrapText="true" indent="0" shrinkToFit="false"/>
      <protection locked="true" hidden="false"/>
    </xf>
    <xf numFmtId="164" fontId="71" fillId="0" borderId="25" xfId="0" applyFont="true" applyBorder="true" applyAlignment="true" applyProtection="false">
      <alignment horizontal="center" vertical="center" textRotation="0" wrapText="true" indent="0" shrinkToFit="false"/>
      <protection locked="true" hidden="false"/>
    </xf>
    <xf numFmtId="164" fontId="39" fillId="0" borderId="33" xfId="0" applyFont="true" applyBorder="true" applyAlignment="true" applyProtection="false">
      <alignment horizontal="general" vertical="center" textRotation="0" wrapText="false" indent="0" shrinkToFit="false"/>
      <protection locked="true" hidden="false"/>
    </xf>
    <xf numFmtId="174" fontId="39" fillId="0" borderId="27" xfId="0" applyFont="true" applyBorder="true" applyAlignment="true" applyProtection="false">
      <alignment horizontal="general" vertical="center" textRotation="0" wrapText="false" indent="0" shrinkToFit="false"/>
      <protection locked="true" hidden="false"/>
    </xf>
    <xf numFmtId="164" fontId="39" fillId="0" borderId="23" xfId="0" applyFont="true" applyBorder="true" applyAlignment="true" applyProtection="false">
      <alignment horizontal="general" vertical="center" textRotation="0" wrapText="false" indent="0" shrinkToFit="false"/>
      <protection locked="true" hidden="false"/>
    </xf>
    <xf numFmtId="174" fontId="39" fillId="0" borderId="35" xfId="0" applyFont="true" applyBorder="true" applyAlignment="true" applyProtection="false">
      <alignment horizontal="general" vertical="center" textRotation="0" wrapText="false" indent="0" shrinkToFit="false"/>
      <protection locked="true" hidden="false"/>
    </xf>
    <xf numFmtId="164" fontId="86" fillId="0" borderId="0" xfId="0" applyFont="true" applyBorder="true" applyAlignment="true" applyProtection="false">
      <alignment horizontal="left" vertical="bottom" textRotation="0" wrapText="true" indent="0" shrinkToFit="false"/>
      <protection locked="true" hidden="false"/>
    </xf>
    <xf numFmtId="164" fontId="39" fillId="0" borderId="41" xfId="0" applyFont="true" applyBorder="true" applyAlignment="true" applyProtection="false">
      <alignment horizontal="general" vertical="center" textRotation="0" wrapText="false" indent="0" shrinkToFit="false"/>
      <protection locked="true" hidden="false"/>
    </xf>
    <xf numFmtId="174" fontId="39" fillId="0" borderId="29" xfId="0" applyFont="true" applyBorder="true" applyAlignment="true" applyProtection="false">
      <alignment horizontal="right" vertical="center" textRotation="0" wrapText="false" indent="0" shrinkToFit="false"/>
      <protection locked="true" hidden="false"/>
    </xf>
    <xf numFmtId="164" fontId="71" fillId="0" borderId="0" xfId="0" applyFont="true" applyBorder="false" applyAlignment="true" applyProtection="false">
      <alignment horizontal="left" vertical="bottom" textRotation="0" wrapText="false" indent="0" shrinkToFit="false"/>
      <protection locked="true" hidden="false"/>
    </xf>
    <xf numFmtId="164" fontId="71" fillId="0" borderId="24" xfId="0" applyFont="true" applyBorder="true" applyAlignment="true" applyProtection="false">
      <alignment horizontal="center" vertical="top" textRotation="0" wrapText="true" indent="0" shrinkToFit="false"/>
      <protection locked="true" hidden="false"/>
    </xf>
    <xf numFmtId="164" fontId="71" fillId="0" borderId="80" xfId="0" applyFont="true" applyBorder="true" applyAlignment="true" applyProtection="false">
      <alignment horizontal="center" vertical="top" textRotation="0" wrapText="true" indent="0" shrinkToFit="false"/>
      <protection locked="true" hidden="false"/>
    </xf>
    <xf numFmtId="164" fontId="71" fillId="0" borderId="81" xfId="0" applyFont="true" applyBorder="true" applyAlignment="true" applyProtection="false">
      <alignment horizontal="center" vertical="top" textRotation="0" wrapText="true" indent="0" shrinkToFit="false"/>
      <protection locked="true" hidden="false"/>
    </xf>
    <xf numFmtId="164" fontId="71" fillId="0" borderId="82" xfId="0" applyFont="true" applyBorder="true" applyAlignment="true" applyProtection="false">
      <alignment horizontal="center" vertical="top" textRotation="0" wrapText="true" indent="0" shrinkToFit="false"/>
      <protection locked="true" hidden="false"/>
    </xf>
    <xf numFmtId="164" fontId="71" fillId="0" borderId="83" xfId="0" applyFont="true" applyBorder="true" applyAlignment="true" applyProtection="false">
      <alignment horizontal="center" vertical="top" textRotation="0" wrapText="true" indent="0" shrinkToFit="false"/>
      <protection locked="true" hidden="false"/>
    </xf>
    <xf numFmtId="187" fontId="39" fillId="0" borderId="58" xfId="0" applyFont="true" applyBorder="true" applyAlignment="true" applyProtection="false">
      <alignment horizontal="general" vertical="bottom" textRotation="0" wrapText="false" indent="0" shrinkToFit="false"/>
      <protection locked="true" hidden="false"/>
    </xf>
    <xf numFmtId="164" fontId="39" fillId="0" borderId="84" xfId="0" applyFont="true" applyBorder="true" applyAlignment="true" applyProtection="false">
      <alignment horizontal="left" vertical="bottom" textRotation="0" wrapText="false" indent="0" shrinkToFit="false"/>
      <protection locked="true" hidden="false"/>
    </xf>
    <xf numFmtId="164" fontId="39" fillId="0" borderId="70" xfId="0" applyFont="true" applyBorder="true" applyAlignment="true" applyProtection="false">
      <alignment horizontal="left" vertical="bottom" textRotation="0" wrapText="false" indent="0" shrinkToFit="false"/>
      <protection locked="true" hidden="false"/>
    </xf>
    <xf numFmtId="164" fontId="39" fillId="0" borderId="85" xfId="0" applyFont="true" applyBorder="true" applyAlignment="true" applyProtection="false">
      <alignment horizontal="left" vertical="bottom" textRotation="0" wrapText="false" indent="0" shrinkToFit="false"/>
      <protection locked="true" hidden="false"/>
    </xf>
    <xf numFmtId="175" fontId="69" fillId="0" borderId="0" xfId="0" applyFont="true" applyBorder="false" applyAlignment="true" applyProtection="false">
      <alignment horizontal="general" vertical="bottom" textRotation="0" wrapText="false" indent="0" shrinkToFit="false"/>
      <protection locked="true" hidden="false"/>
    </xf>
    <xf numFmtId="187" fontId="39" fillId="0" borderId="32" xfId="0" applyFont="true" applyBorder="true" applyAlignment="true" applyProtection="false">
      <alignment horizontal="general" vertical="bottom" textRotation="0" wrapText="false" indent="0" shrinkToFit="false"/>
      <protection locked="true" hidden="false"/>
    </xf>
    <xf numFmtId="164" fontId="39" fillId="0" borderId="30" xfId="0" applyFont="true" applyBorder="true" applyAlignment="true" applyProtection="false">
      <alignment horizontal="left" vertical="bottom" textRotation="0" wrapText="false" indent="0" shrinkToFit="false"/>
      <protection locked="true" hidden="false"/>
    </xf>
    <xf numFmtId="164" fontId="39" fillId="0" borderId="31" xfId="0" applyFont="true" applyBorder="true" applyAlignment="true" applyProtection="false">
      <alignment horizontal="left" vertical="bottom" textRotation="0" wrapText="false" indent="0" shrinkToFit="false"/>
      <protection locked="true" hidden="false"/>
    </xf>
    <xf numFmtId="164" fontId="39" fillId="0" borderId="86" xfId="0" applyFont="true" applyBorder="true" applyAlignment="true" applyProtection="false">
      <alignment horizontal="left" vertical="bottom" textRotation="0" wrapText="false" indent="0" shrinkToFit="false"/>
      <protection locked="true" hidden="false"/>
    </xf>
    <xf numFmtId="164" fontId="39" fillId="0" borderId="38" xfId="0" applyFont="true" applyBorder="true" applyAlignment="true" applyProtection="false">
      <alignment horizontal="left" vertical="bottom" textRotation="0" wrapText="false" indent="0" shrinkToFit="false"/>
      <protection locked="true" hidden="false"/>
    </xf>
    <xf numFmtId="187" fontId="39" fillId="0" borderId="61" xfId="0" applyFont="true" applyBorder="true" applyAlignment="true" applyProtection="false">
      <alignment horizontal="general" vertical="bottom" textRotation="0" wrapText="false" indent="0" shrinkToFit="false"/>
      <protection locked="true" hidden="false"/>
    </xf>
    <xf numFmtId="164" fontId="39" fillId="0" borderId="87" xfId="0" applyFont="true" applyBorder="true" applyAlignment="true" applyProtection="false">
      <alignment horizontal="left" vertical="bottom" textRotation="0" wrapText="false" indent="0" shrinkToFit="false"/>
      <protection locked="true" hidden="false"/>
    </xf>
    <xf numFmtId="164" fontId="39" fillId="0" borderId="73" xfId="0" applyFont="true" applyBorder="true" applyAlignment="true" applyProtection="false">
      <alignment horizontal="left" vertical="bottom" textRotation="0" wrapText="false" indent="0" shrinkToFit="false"/>
      <protection locked="true" hidden="false"/>
    </xf>
    <xf numFmtId="164" fontId="39" fillId="0" borderId="88" xfId="0" applyFont="true" applyBorder="true" applyAlignment="true" applyProtection="false">
      <alignment horizontal="left" vertical="bottom" textRotation="0" wrapText="false" indent="0" shrinkToFit="false"/>
      <protection locked="true" hidden="false"/>
    </xf>
    <xf numFmtId="164" fontId="87" fillId="4" borderId="19" xfId="0" applyFont="true" applyBorder="true" applyAlignment="true" applyProtection="false">
      <alignment horizontal="center" vertical="center" textRotation="0" wrapText="false" indent="0" shrinkToFit="false"/>
      <protection locked="true" hidden="false"/>
    </xf>
    <xf numFmtId="164" fontId="88" fillId="4" borderId="17" xfId="0" applyFont="true" applyBorder="true" applyAlignment="true" applyProtection="false">
      <alignment horizontal="center" vertical="center" textRotation="0" wrapText="false" indent="0" shrinkToFit="false"/>
      <protection locked="true" hidden="false"/>
    </xf>
    <xf numFmtId="164" fontId="89" fillId="4" borderId="20" xfId="0" applyFont="true" applyBorder="true" applyAlignment="true" applyProtection="false">
      <alignment horizontal="center" vertical="center" textRotation="0" wrapText="false" indent="0" shrinkToFit="false"/>
      <protection locked="true" hidden="false"/>
    </xf>
    <xf numFmtId="164" fontId="90" fillId="4" borderId="89" xfId="0" applyFont="true" applyBorder="true" applyAlignment="true" applyProtection="false">
      <alignment horizontal="center" vertical="center" textRotation="0" wrapText="false" indent="0" shrinkToFit="false"/>
      <protection locked="true" hidden="false"/>
    </xf>
    <xf numFmtId="168" fontId="91" fillId="4" borderId="19" xfId="0" applyFont="true" applyBorder="true" applyAlignment="true" applyProtection="false">
      <alignment horizontal="center" vertical="center" textRotation="0" wrapText="false" indent="0" shrinkToFit="false"/>
      <protection locked="true" hidden="false"/>
    </xf>
    <xf numFmtId="168" fontId="91" fillId="4" borderId="17" xfId="0" applyFont="true" applyBorder="true" applyAlignment="true" applyProtection="false">
      <alignment horizontal="center" vertical="center" textRotation="0" wrapText="false" indent="0" shrinkToFit="false"/>
      <protection locked="true" hidden="false"/>
    </xf>
    <xf numFmtId="168" fontId="91" fillId="4" borderId="20" xfId="0" applyFont="true" applyBorder="true" applyAlignment="true" applyProtection="false">
      <alignment horizontal="center" vertical="center" textRotation="0" wrapText="false" indent="0" shrinkToFit="false"/>
      <protection locked="true" hidden="false"/>
    </xf>
    <xf numFmtId="168" fontId="91" fillId="4" borderId="89" xfId="0" applyFont="true" applyBorder="true" applyAlignment="true" applyProtection="false">
      <alignment horizontal="center" vertical="center" textRotation="0" wrapText="false" indent="0" shrinkToFit="false"/>
      <protection locked="true" hidden="false"/>
    </xf>
    <xf numFmtId="164" fontId="57" fillId="4" borderId="19" xfId="0" applyFont="true" applyBorder="true" applyAlignment="true" applyProtection="false">
      <alignment horizontal="center" vertical="center" textRotation="0" wrapText="false" indent="0" shrinkToFit="false"/>
      <protection locked="true" hidden="false"/>
    </xf>
    <xf numFmtId="164" fontId="59" fillId="4" borderId="17" xfId="0" applyFont="true" applyBorder="true" applyAlignment="true" applyProtection="false">
      <alignment horizontal="center" vertical="center" textRotation="0" wrapText="false" indent="0" shrinkToFit="false"/>
      <protection locked="true" hidden="false"/>
    </xf>
    <xf numFmtId="164" fontId="61" fillId="4" borderId="20" xfId="0" applyFont="true" applyBorder="true" applyAlignment="true" applyProtection="false">
      <alignment horizontal="center" vertical="center" textRotation="0" wrapText="false" indent="0" shrinkToFit="false"/>
      <protection locked="true" hidden="false"/>
    </xf>
    <xf numFmtId="164" fontId="92" fillId="4" borderId="89" xfId="0" applyFont="true" applyBorder="true" applyAlignment="true" applyProtection="false">
      <alignment horizontal="center" vertical="center" textRotation="0" wrapText="false" indent="0" shrinkToFit="false"/>
      <protection locked="true" hidden="false"/>
    </xf>
    <xf numFmtId="164" fontId="93" fillId="4" borderId="19" xfId="0" applyFont="true" applyBorder="true" applyAlignment="true" applyProtection="false">
      <alignment horizontal="center" vertical="center" textRotation="0" wrapText="false" indent="0" shrinkToFit="false"/>
      <protection locked="true" hidden="false"/>
    </xf>
    <xf numFmtId="164" fontId="93" fillId="4" borderId="17" xfId="0" applyFont="true" applyBorder="true" applyAlignment="true" applyProtection="false">
      <alignment horizontal="center" vertical="center" textRotation="0" wrapText="false" indent="0" shrinkToFit="false"/>
      <protection locked="true" hidden="false"/>
    </xf>
    <xf numFmtId="164" fontId="93" fillId="4" borderId="20" xfId="0" applyFont="true" applyBorder="true" applyAlignment="true" applyProtection="false">
      <alignment horizontal="center" vertical="center" textRotation="0" wrapText="false" indent="0" shrinkToFit="false"/>
      <protection locked="true" hidden="false"/>
    </xf>
    <xf numFmtId="164" fontId="93" fillId="4" borderId="89" xfId="0" applyFont="true" applyBorder="true" applyAlignment="true" applyProtection="false">
      <alignment horizontal="center" vertical="center" textRotation="0" wrapText="false" indent="0" shrinkToFit="false"/>
      <protection locked="true" hidden="false"/>
    </xf>
    <xf numFmtId="164" fontId="94" fillId="4" borderId="13" xfId="0" applyFont="true" applyBorder="true" applyAlignment="true" applyProtection="false">
      <alignment horizontal="left" vertical="center" textRotation="0" wrapText="false" indent="0" shrinkToFit="false"/>
      <protection locked="true" hidden="false"/>
    </xf>
    <xf numFmtId="164" fontId="62" fillId="4" borderId="13" xfId="0" applyFont="true" applyBorder="true" applyAlignment="true" applyProtection="false">
      <alignment horizontal="left" vertical="center" textRotation="0" wrapText="false" indent="0" shrinkToFit="false"/>
      <protection locked="true" hidden="false"/>
    </xf>
    <xf numFmtId="168" fontId="95" fillId="4" borderId="13" xfId="0" applyFont="true" applyBorder="true" applyAlignment="true" applyProtection="false">
      <alignment horizontal="center" vertical="center" textRotation="0" wrapText="false" indent="0" shrinkToFit="false"/>
      <protection locked="true" hidden="false"/>
    </xf>
    <xf numFmtId="171" fontId="62" fillId="4" borderId="13" xfId="0" applyFont="true" applyBorder="true" applyAlignment="true" applyProtection="false">
      <alignment horizontal="center" vertical="center" textRotation="0" wrapText="false" indent="0" shrinkToFit="false"/>
      <protection locked="true" hidden="false"/>
    </xf>
    <xf numFmtId="164" fontId="62" fillId="4" borderId="13" xfId="0" applyFont="true" applyBorder="true" applyAlignment="true" applyProtection="false">
      <alignment horizontal="center" vertical="center" textRotation="0" wrapText="false" indent="0" shrinkToFit="false"/>
      <protection locked="true" hidden="false"/>
    </xf>
    <xf numFmtId="168" fontId="62" fillId="4" borderId="13" xfId="0" applyFont="true" applyBorder="true" applyAlignment="true" applyProtection="false">
      <alignment horizontal="center" vertical="center" textRotation="0" wrapText="false" indent="0" shrinkToFit="false"/>
      <protection locked="true" hidden="false"/>
    </xf>
    <xf numFmtId="164" fontId="96" fillId="4" borderId="13" xfId="0" applyFont="true" applyBorder="true" applyAlignment="true" applyProtection="false">
      <alignment horizontal="center" vertical="center" textRotation="0" wrapText="false" indent="0" shrinkToFit="false"/>
      <protection locked="true" hidden="false"/>
    </xf>
    <xf numFmtId="164" fontId="56" fillId="34" borderId="13" xfId="0" applyFont="true" applyBorder="true" applyAlignment="true" applyProtection="false">
      <alignment horizontal="left" vertical="center" textRotation="0" wrapText="false" indent="0" shrinkToFit="false"/>
      <protection locked="true" hidden="false"/>
    </xf>
    <xf numFmtId="164" fontId="62" fillId="34" borderId="13" xfId="0" applyFont="true" applyBorder="true" applyAlignment="true" applyProtection="false">
      <alignment horizontal="left" vertical="center" textRotation="0" wrapText="false" indent="0" shrinkToFit="false"/>
      <protection locked="true" hidden="false"/>
    </xf>
    <xf numFmtId="168" fontId="95" fillId="34" borderId="13" xfId="0" applyFont="true" applyBorder="true" applyAlignment="true" applyProtection="false">
      <alignment horizontal="center" vertical="center" textRotation="0" wrapText="false" indent="0" shrinkToFit="false"/>
      <protection locked="true" hidden="false"/>
    </xf>
    <xf numFmtId="171" fontId="62" fillId="34" borderId="13" xfId="0" applyFont="true" applyBorder="true" applyAlignment="true" applyProtection="false">
      <alignment horizontal="center" vertical="center" textRotation="0" wrapText="false" indent="0" shrinkToFit="false"/>
      <protection locked="true" hidden="false"/>
    </xf>
    <xf numFmtId="168" fontId="62" fillId="34" borderId="13" xfId="0" applyFont="true" applyBorder="true" applyAlignment="true" applyProtection="false">
      <alignment horizontal="center" vertical="center" textRotation="0" wrapText="false" indent="0" shrinkToFit="false"/>
      <protection locked="true" hidden="false"/>
    </xf>
    <xf numFmtId="164" fontId="62" fillId="34" borderId="13" xfId="0" applyFont="true" applyBorder="true" applyAlignment="true" applyProtection="false">
      <alignment horizontal="center" vertical="center" textRotation="0" wrapText="false" indent="0" shrinkToFit="false"/>
      <protection locked="true" hidden="false"/>
    </xf>
    <xf numFmtId="164" fontId="96" fillId="34" borderId="13" xfId="0" applyFont="true" applyBorder="true" applyAlignment="true" applyProtection="false">
      <alignment horizontal="center" vertical="center" textRotation="0" wrapText="false" indent="0" shrinkToFit="false"/>
      <protection locked="true" hidden="false"/>
    </xf>
    <xf numFmtId="164" fontId="97" fillId="4" borderId="13" xfId="0" applyFont="true" applyBorder="true" applyAlignment="true" applyProtection="false">
      <alignment horizontal="left" vertical="center" textRotation="0" wrapText="false" indent="0" shrinkToFit="false"/>
      <protection locked="true" hidden="false"/>
    </xf>
    <xf numFmtId="164" fontId="98" fillId="12" borderId="13" xfId="0" applyFont="true" applyBorder="true" applyAlignment="true" applyProtection="false">
      <alignment horizontal="left" vertical="center" textRotation="0" wrapText="false" indent="0" shrinkToFit="false"/>
      <protection locked="true" hidden="false"/>
    </xf>
    <xf numFmtId="164" fontId="62" fillId="12" borderId="13" xfId="0" applyFont="true" applyBorder="true" applyAlignment="true" applyProtection="false">
      <alignment horizontal="left" vertical="center" textRotation="0" wrapText="false" indent="0" shrinkToFit="false"/>
      <protection locked="true" hidden="false"/>
    </xf>
    <xf numFmtId="168" fontId="15" fillId="12" borderId="13" xfId="0" applyFont="true" applyBorder="true" applyAlignment="true" applyProtection="false">
      <alignment horizontal="center" vertical="center" textRotation="0" wrapText="false" indent="0" shrinkToFit="false"/>
      <protection locked="true" hidden="false"/>
    </xf>
    <xf numFmtId="171" fontId="62" fillId="12" borderId="13" xfId="0" applyFont="true" applyBorder="true" applyAlignment="true" applyProtection="false">
      <alignment horizontal="center" vertical="center" textRotation="0" wrapText="false" indent="0" shrinkToFit="false"/>
      <protection locked="true" hidden="false"/>
    </xf>
    <xf numFmtId="164" fontId="62" fillId="12" borderId="13" xfId="0" applyFont="true" applyBorder="true" applyAlignment="true" applyProtection="false">
      <alignment horizontal="center" vertical="center" textRotation="0" wrapText="false" indent="0" shrinkToFit="false"/>
      <protection locked="true" hidden="false"/>
    </xf>
    <xf numFmtId="164" fontId="99" fillId="12" borderId="13" xfId="0" applyFont="true" applyBorder="true" applyAlignment="true" applyProtection="false">
      <alignment horizontal="center" vertical="center" textRotation="0" wrapText="false" indent="0" shrinkToFit="false"/>
      <protection locked="true" hidden="false"/>
    </xf>
    <xf numFmtId="164" fontId="100" fillId="4" borderId="13" xfId="0" applyFont="true" applyBorder="true" applyAlignment="true" applyProtection="false">
      <alignment horizontal="left" vertical="center" textRotation="0" wrapText="false" indent="0" shrinkToFit="false"/>
      <protection locked="true" hidden="false"/>
    </xf>
    <xf numFmtId="184" fontId="62" fillId="4" borderId="13" xfId="0" applyFont="true" applyBorder="true" applyAlignment="true" applyProtection="false">
      <alignment horizontal="center" vertical="center" textRotation="0" wrapText="false" indent="0" shrinkToFit="false"/>
      <protection locked="true" hidden="false"/>
    </xf>
    <xf numFmtId="165" fontId="95" fillId="4" borderId="13" xfId="0" applyFont="true" applyBorder="true" applyAlignment="true" applyProtection="false">
      <alignment horizontal="center" vertical="center" textRotation="0" wrapText="false" indent="0" shrinkToFit="false"/>
      <protection locked="true" hidden="false"/>
    </xf>
    <xf numFmtId="164" fontId="94" fillId="34" borderId="13" xfId="0" applyFont="true" applyBorder="true" applyAlignment="true" applyProtection="false">
      <alignment horizontal="left" vertical="center" textRotation="0" wrapText="false" indent="0" shrinkToFit="false"/>
      <protection locked="true" hidden="false"/>
    </xf>
    <xf numFmtId="184" fontId="62" fillId="34" borderId="13" xfId="0" applyFont="true" applyBorder="true" applyAlignment="true" applyProtection="false">
      <alignment horizontal="center" vertical="center" textRotation="0" wrapText="false" indent="0" shrinkToFit="false"/>
      <protection locked="true" hidden="false"/>
    </xf>
    <xf numFmtId="165" fontId="95" fillId="34" borderId="13" xfId="0" applyFont="true" applyBorder="true" applyAlignment="true" applyProtection="false">
      <alignment horizontal="center" vertical="center" textRotation="0" wrapText="false" indent="0" shrinkToFit="false"/>
      <protection locked="true" hidden="false"/>
    </xf>
    <xf numFmtId="164" fontId="15" fillId="4" borderId="13" xfId="0" applyFont="true" applyBorder="true" applyAlignment="true" applyProtection="false">
      <alignment horizontal="left" vertical="center" textRotation="0" wrapText="false" indent="0" shrinkToFit="false"/>
      <protection locked="true" hidden="false"/>
    </xf>
    <xf numFmtId="171" fontId="61" fillId="4" borderId="13" xfId="0" applyFont="true" applyBorder="true" applyAlignment="true" applyProtection="false">
      <alignment horizontal="center" vertical="center" textRotation="0" wrapText="false" indent="0" shrinkToFit="false"/>
      <protection locked="true" hidden="false"/>
    </xf>
    <xf numFmtId="164" fontId="62" fillId="4" borderId="13" xfId="0" applyFont="true" applyBorder="true" applyAlignment="true" applyProtection="false">
      <alignment horizontal="center" vertical="center" textRotation="0" wrapText="true" indent="0" shrinkToFit="false"/>
      <protection locked="true" hidden="false"/>
    </xf>
    <xf numFmtId="171" fontId="99" fillId="4" borderId="13" xfId="0" applyFont="true" applyBorder="true" applyAlignment="true" applyProtection="false">
      <alignment horizontal="center" vertical="center" textRotation="0" wrapText="false" indent="0" shrinkToFit="false"/>
      <protection locked="true" hidden="false"/>
    </xf>
    <xf numFmtId="164" fontId="15" fillId="34" borderId="13" xfId="0" applyFont="true" applyBorder="true" applyAlignment="true" applyProtection="false">
      <alignment horizontal="left" vertical="center" textRotation="0" wrapText="false" indent="0" shrinkToFit="false"/>
      <protection locked="true" hidden="false"/>
    </xf>
    <xf numFmtId="171" fontId="61" fillId="34" borderId="13" xfId="0" applyFont="true" applyBorder="true" applyAlignment="true" applyProtection="false">
      <alignment horizontal="center" vertical="center" textRotation="0" wrapText="false" indent="0" shrinkToFit="false"/>
      <protection locked="true" hidden="false"/>
    </xf>
    <xf numFmtId="171" fontId="99" fillId="34" borderId="13" xfId="0" applyFont="true" applyBorder="true" applyAlignment="true" applyProtection="false">
      <alignment horizontal="center" vertical="center" textRotation="0" wrapText="false" indent="0" shrinkToFit="false"/>
      <protection locked="true" hidden="false"/>
    </xf>
    <xf numFmtId="164" fontId="99" fillId="4" borderId="13" xfId="0" applyFont="true" applyBorder="true" applyAlignment="true" applyProtection="false">
      <alignment horizontal="left" vertical="center" textRotation="0" wrapText="false" indent="0" shrinkToFit="false"/>
      <protection locked="true" hidden="false"/>
    </xf>
    <xf numFmtId="164" fontId="99" fillId="34" borderId="13" xfId="0" applyFont="true" applyBorder="true" applyAlignment="true" applyProtection="false">
      <alignment horizontal="left" vertical="center" textRotation="0" wrapText="false" indent="0" shrinkToFit="false"/>
      <protection locked="true" hidden="false"/>
    </xf>
    <xf numFmtId="165" fontId="99" fillId="4" borderId="13" xfId="0" applyFont="true" applyBorder="true" applyAlignment="true" applyProtection="false">
      <alignment horizontal="left" vertical="center" textRotation="0" wrapText="false" indent="0" shrinkToFit="false"/>
      <protection locked="true" hidden="false"/>
    </xf>
    <xf numFmtId="165" fontId="99" fillId="34" borderId="13" xfId="0" applyFont="true" applyBorder="true" applyAlignment="true" applyProtection="false">
      <alignment horizontal="left" vertical="center" textRotation="0" wrapText="false" indent="0" shrinkToFit="false"/>
      <protection locked="true" hidden="false"/>
    </xf>
    <xf numFmtId="164" fontId="93" fillId="30" borderId="0" xfId="0" applyFont="true" applyBorder="true" applyAlignment="true" applyProtection="false">
      <alignment horizontal="center"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128" xfId="20"/>
  </cellStyles>
  <dxfs count="2">
    <dxf>
      <fill>
        <patternFill>
          <bgColor rgb="FFFFCCCC"/>
        </patternFill>
      </fill>
    </dxf>
    <dxf>
      <fill>
        <patternFill>
          <bgColor rgb="FFCCFFCC"/>
        </patternFill>
      </fill>
    </dxf>
  </dxfs>
  <colors>
    <indexedColors>
      <rgbColor rgb="FF000000"/>
      <rgbColor rgb="FFFFFFFF"/>
      <rgbColor rgb="FFFF0000"/>
      <rgbColor rgb="FF01B054"/>
      <rgbColor rgb="FF0000FF"/>
      <rgbColor rgb="FFFDEADA"/>
      <rgbColor rgb="FFEBEAF6"/>
      <rgbColor rgb="FFE8F5E9"/>
      <rgbColor rgb="FFF0F4FA"/>
      <rgbColor rgb="FF007700"/>
      <rgbColor rgb="FF1A237E"/>
      <rgbColor rgb="FF4A7C59"/>
      <rgbColor rgb="FF880E4F"/>
      <rgbColor rgb="FF2980B9"/>
      <rgbColor rgb="FFB8C1D4"/>
      <rgbColor rgb="FF5F6845"/>
      <rgbColor rgb="FFD6E4F0"/>
      <rgbColor rgb="FF6D338A"/>
      <rgbColor rgb="FFFFFFE5"/>
      <rgbColor rgb="FFE3F2FD"/>
      <rgbColor rgb="FF4A148C"/>
      <rgbColor rgb="FFD68910"/>
      <rgbColor rgb="FF0070C0"/>
      <rgbColor rgb="FFCDD5DF"/>
      <rgbColor rgb="FF2E7D32"/>
      <rgbColor rgb="FFEBF0F8"/>
      <rgbColor rgb="FFC8E6C9"/>
      <rgbColor rgb="FFEBF5FB"/>
      <rgbColor rgb="FF6A1B9A"/>
      <rgbColor rgb="FFF5F5F5"/>
      <rgbColor rgb="FF225C96"/>
      <rgbColor rgb="FFF5F7FA"/>
      <rgbColor rgb="FF01A5EF"/>
      <rgbColor rgb="FFDFF0E5"/>
      <rgbColor rgb="FFCCFFCC"/>
      <rgbColor rgb="FFFFFDE7"/>
      <rgbColor rgb="FFBBDEFB"/>
      <rgbColor rgb="FFD0D0D0"/>
      <rgbColor rgb="FFE1BEE7"/>
      <rgbColor rgb="FFFFCCCC"/>
      <rgbColor rgb="FF1565C0"/>
      <rgbColor rgb="FF27AE60"/>
      <rgbColor rgb="FFA3CB78"/>
      <rgbColor rgb="FFFFF9E6"/>
      <rgbColor rgb="FFE8A020"/>
      <rgbColor rgb="FFF27F1A"/>
      <rgbColor rgb="FF65717F"/>
      <rgbColor rgb="FFC0504D"/>
      <rgbColor rgb="FF1A3557"/>
      <rgbColor rgb="FF388E3C"/>
      <rgbColor rgb="FF0E1413"/>
      <rgbColor rgb="FF1B5E20"/>
      <rgbColor rgb="FFC0392B"/>
      <rgbColor rgb="FF7B1FA2"/>
      <rgbColor rgb="FF283593"/>
      <rgbColor rgb="FF1A3D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43" strike="noStrike">
                <a:solidFill>
                  <a:srgbClr val="808080"/>
                </a:solidFill>
                <a:latin typeface="Calibri"/>
              </a:defRPr>
            </a:pPr>
            <a:r>
              <a:rPr b="1" lang="en-US" sz="1800" spc="143" strike="noStrike">
                <a:solidFill>
                  <a:srgbClr val="808080"/>
                </a:solidFill>
                <a:latin typeface="Calibri"/>
              </a:rPr>
              <a:t>Emission Trajectory</a:t>
            </a:r>
          </a:p>
        </c:rich>
      </c:tx>
      <c:layout>
        <c:manualLayout>
          <c:xMode val="edge"/>
          <c:yMode val="edge"/>
          <c:x val="0.0476847064230725"/>
          <c:y val="0.0500039622791029"/>
        </c:manualLayout>
      </c:layout>
      <c:overlay val="0"/>
      <c:spPr>
        <a:noFill/>
        <a:ln w="0">
          <a:noFill/>
        </a:ln>
      </c:spPr>
    </c:title>
    <c:autoTitleDeleted val="0"/>
    <c:plotArea>
      <c:layout>
        <c:manualLayout>
          <c:layoutTarget val="inner"/>
          <c:xMode val="edge"/>
          <c:yMode val="edge"/>
          <c:x val="0.170324409207553"/>
          <c:y val="0.223472541405817"/>
          <c:w val="0.760274234938144"/>
          <c:h val="0.704255487756558"/>
        </c:manualLayout>
      </c:layout>
      <c:lineChart>
        <c:grouping val="standard"/>
        <c:varyColors val="0"/>
        <c:ser>
          <c:idx val="0"/>
          <c:order val="0"/>
          <c:tx>
            <c:strRef>
              <c:f>'Reduction Trajectory'!$B$8</c:f>
              <c:strCache>
                <c:ptCount val="1"/>
                <c:pt idx="0">
                  <c:v>Business as usual</c:v>
                </c:pt>
              </c:strCache>
            </c:strRef>
          </c:tx>
          <c:spPr>
            <a:solidFill>
              <a:srgbClr val="eeece1"/>
            </a:solidFill>
            <a:ln w="38160">
              <a:solidFill>
                <a:srgbClr val="eeece1"/>
              </a:solidFill>
              <a:prstDash val="dash"/>
              <a:round/>
            </a:ln>
          </c:spPr>
          <c:marker>
            <c:symbol val="none"/>
          </c:marker>
          <c:dPt>
            <c:idx val="0"/>
            <c:marker>
              <c:symbol val="none"/>
            </c:marker>
          </c:dPt>
          <c:dPt>
            <c:idx val="1"/>
            <c:marker>
              <c:symbol val="none"/>
            </c:marker>
          </c:dPt>
          <c:dPt>
            <c:idx val="2"/>
            <c:marker>
              <c:symbol val="none"/>
            </c:marker>
          </c:dPt>
          <c:dPt>
            <c:idx val="3"/>
            <c:marker>
              <c:symbol val="none"/>
            </c:marker>
          </c:dPt>
          <c:dPt>
            <c:idx val="4"/>
            <c:marker>
              <c:symbol val="none"/>
            </c:marker>
          </c:dPt>
          <c:dPt>
            <c:idx val="5"/>
            <c:marker>
              <c:symbol val="none"/>
            </c:marker>
          </c:dPt>
          <c:dLbls>
            <c:numFmt formatCode="_(* #,##0.00_);_(* \(#,##0.00\);_(* \-??_);_(@_)" sourceLinked="1"/>
            <c:dLbl>
              <c:idx val="0"/>
              <c:numFmt formatCode="_(* #,##0.00_);_(* \(#,##0.00\);_(* \-??_);_(@_)" sourceLinked="1"/>
              <c:txPr>
                <a:bodyPr wrap="square"/>
                <a:lstStyle/>
                <a:p>
                  <a:pPr>
                    <a:defRPr b="0" sz="900" spc="-1" strike="noStrike">
                      <a:solidFill>
                        <a:srgbClr val="404040"/>
                      </a:solidFill>
                      <a:latin typeface="Calibri"/>
                    </a:defRPr>
                  </a:pPr>
                </a:p>
              </c:txPr>
              <c:dLblPos val="r"/>
              <c:showLegendKey val="1"/>
              <c:showVal val="1"/>
              <c:showCatName val="1"/>
              <c:showSerName val="1"/>
              <c:showPercent val="0"/>
              <c:separator>; </c:separator>
            </c:dLbl>
            <c:dLbl>
              <c:idx val="1"/>
              <c:numFmt formatCode="_(* #,##0.00_);_(* \(#,##0.00\);_(* \-??_);_(@_)" sourceLinked="1"/>
              <c:txPr>
                <a:bodyPr wrap="square"/>
                <a:lstStyle/>
                <a:p>
                  <a:pPr>
                    <a:defRPr b="0" sz="900" spc="-1" strike="noStrike">
                      <a:solidFill>
                        <a:srgbClr val="404040"/>
                      </a:solidFill>
                      <a:latin typeface="Calibri"/>
                    </a:defRPr>
                  </a:pPr>
                </a:p>
              </c:txPr>
              <c:dLblPos val="r"/>
              <c:showLegendKey val="1"/>
              <c:showVal val="1"/>
              <c:showCatName val="1"/>
              <c:showSerName val="1"/>
              <c:showPercent val="0"/>
              <c:separator>; </c:separator>
            </c:dLbl>
            <c:dLbl>
              <c:idx val="2"/>
              <c:numFmt formatCode="_(* #,##0.00_);_(* \(#,##0.00\);_(* \-??_);_(@_)" sourceLinked="1"/>
              <c:txPr>
                <a:bodyPr wrap="square"/>
                <a:lstStyle/>
                <a:p>
                  <a:pPr>
                    <a:defRPr b="0" sz="900" spc="-1" strike="noStrike">
                      <a:solidFill>
                        <a:srgbClr val="404040"/>
                      </a:solidFill>
                      <a:latin typeface="Calibri"/>
                    </a:defRPr>
                  </a:pPr>
                </a:p>
              </c:txPr>
              <c:dLblPos val="r"/>
              <c:showLegendKey val="1"/>
              <c:showVal val="1"/>
              <c:showCatName val="1"/>
              <c:showSerName val="1"/>
              <c:showPercent val="0"/>
              <c:separator>; </c:separator>
            </c:dLbl>
            <c:dLbl>
              <c:idx val="3"/>
              <c:numFmt formatCode="_(* #,##0.00_);_(* \(#,##0.00\);_(* \-??_);_(@_)" sourceLinked="1"/>
              <c:txPr>
                <a:bodyPr wrap="square"/>
                <a:lstStyle/>
                <a:p>
                  <a:pPr>
                    <a:defRPr b="0" sz="900" spc="-1" strike="noStrike">
                      <a:solidFill>
                        <a:srgbClr val="404040"/>
                      </a:solidFill>
                      <a:latin typeface="Calibri"/>
                    </a:defRPr>
                  </a:pPr>
                </a:p>
              </c:txPr>
              <c:dLblPos val="r"/>
              <c:showLegendKey val="1"/>
              <c:showVal val="1"/>
              <c:showCatName val="1"/>
              <c:showSerName val="1"/>
              <c:showPercent val="0"/>
              <c:separator>; </c:separator>
            </c:dLbl>
            <c:dLbl>
              <c:idx val="4"/>
              <c:numFmt formatCode="_(* #,##0.00_);_(* \(#,##0.00\);_(* \-??_);_(@_)" sourceLinked="1"/>
              <c:txPr>
                <a:bodyPr wrap="square"/>
                <a:lstStyle/>
                <a:p>
                  <a:pPr>
                    <a:defRPr b="0" sz="900" spc="-1" strike="noStrike">
                      <a:solidFill>
                        <a:srgbClr val="404040"/>
                      </a:solidFill>
                      <a:latin typeface="Calibri"/>
                    </a:defRPr>
                  </a:pPr>
                </a:p>
              </c:txPr>
              <c:dLblPos val="r"/>
              <c:showLegendKey val="1"/>
              <c:showVal val="1"/>
              <c:showCatName val="1"/>
              <c:showSerName val="1"/>
              <c:showPercent val="0"/>
              <c:separator>; </c:separator>
            </c:dLbl>
            <c:dLbl>
              <c:idx val="5"/>
              <c:numFmt formatCode="_(* #,##0.00_);_(* \(#,##0.00\);_(* \-??_);_(@_)" sourceLinked="1"/>
              <c:txPr>
                <a:bodyPr wrap="square"/>
                <a:lstStyle/>
                <a:p>
                  <a:pPr>
                    <a:defRPr b="0" sz="900" spc="-1" strike="noStrike">
                      <a:solidFill>
                        <a:srgbClr val="404040"/>
                      </a:solidFill>
                      <a:latin typeface="Calibri"/>
                    </a:defRPr>
                  </a:pPr>
                </a:p>
              </c:txPr>
              <c:dLblPos val="r"/>
              <c:showLegendKey val="1"/>
              <c:showVal val="1"/>
              <c:showCatName val="1"/>
              <c:showSerName val="1"/>
              <c:showPercent val="0"/>
              <c:separator>; </c:separator>
            </c:dLbl>
            <c:txPr>
              <a:bodyPr wrap="square"/>
              <a:lstStyle/>
              <a:p>
                <a:pPr>
                  <a:defRPr b="0" sz="900" spc="-1" strike="noStrike">
                    <a:solidFill>
                      <a:srgbClr val="404040"/>
                    </a:solidFill>
                    <a:latin typeface="Calibri"/>
                  </a:defRPr>
                </a:pPr>
              </a:p>
            </c:txPr>
            <c:dLblPos val="r"/>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'Reduction Trajectory'!$C$7:$I$7</c:f>
              <c:strCache>
                <c:ptCount val="7"/>
                <c:pt idx="0">
                  <c:v>2024</c:v>
                </c:pt>
                <c:pt idx="1">
                  <c:v>2025</c:v>
                </c:pt>
                <c:pt idx="2">
                  <c:v>2026</c:v>
                </c:pt>
                <c:pt idx="3">
                  <c:v>2027</c:v>
                </c:pt>
                <c:pt idx="4">
                  <c:v>2028</c:v>
                </c:pt>
                <c:pt idx="5">
                  <c:v>2029</c:v>
                </c:pt>
                <c:pt idx="6">
                  <c:v>2030</c:v>
                </c:pt>
              </c:strCache>
            </c:strRef>
          </c:cat>
          <c:val>
            <c:numRef>
              <c:f>'Reduction Trajectory'!$C$8:$I$8</c:f>
              <c:numCache>
                <c:formatCode>_(* #,##0.00_);_(* \(#,##0.00\);_(* \-??_);_(@_)</c:formatCode>
                <c:ptCount val="7"/>
                <c:pt idx="0">
                  <c:v>1403800</c:v>
                </c:pt>
                <c:pt idx="1">
                  <c:v>16456070</c:v>
                </c:pt>
                <c:pt idx="2">
                  <c:v>17422778</c:v>
                </c:pt>
                <c:pt idx="3">
                  <c:v>18446275</c:v>
                </c:pt>
                <c:pt idx="4">
                  <c:v>19529898</c:v>
                </c:pt>
                <c:pt idx="5">
                  <c:v>20677178</c:v>
                </c:pt>
                <c:pt idx="6">
                  <c:v>21891855</c:v>
                </c:pt>
              </c:numCache>
            </c:numRef>
          </c:val>
          <c:smooth val="0"/>
        </c:ser>
        <c:ser>
          <c:idx val="1"/>
          <c:order val="1"/>
          <c:tx>
            <c:strRef>
              <c:f>'Reduction Trajectory'!$B$9</c:f>
              <c:strCache>
                <c:ptCount val="1"/>
                <c:pt idx="0">
                  <c:v>Net Zero Commitment</c:v>
                </c:pt>
              </c:strCache>
            </c:strRef>
          </c:tx>
          <c:spPr>
            <a:solidFill>
              <a:srgbClr val="c0504d"/>
            </a:solidFill>
            <a:ln w="38160">
              <a:solidFill>
                <a:srgbClr val="c0504d"/>
              </a:solidFill>
              <a:round/>
            </a:ln>
          </c:spPr>
          <c:marker>
            <c:symbol val="none"/>
          </c:marker>
          <c:dPt>
            <c:idx val="0"/>
            <c:marker>
              <c:symbol val="none"/>
            </c:marker>
          </c:dPt>
          <c:dPt>
            <c:idx val="1"/>
            <c:marker>
              <c:symbol val="none"/>
            </c:marker>
          </c:dPt>
          <c:dPt>
            <c:idx val="2"/>
            <c:marker>
              <c:symbol val="none"/>
            </c:marker>
          </c:dPt>
          <c:dPt>
            <c:idx val="3"/>
            <c:marker>
              <c:symbol val="none"/>
            </c:marker>
          </c:dPt>
          <c:dPt>
            <c:idx val="4"/>
            <c:marker>
              <c:symbol val="none"/>
            </c:marker>
          </c:dPt>
          <c:dPt>
            <c:idx val="5"/>
            <c:marker>
              <c:symbol val="none"/>
            </c:marker>
          </c:dPt>
          <c:dLbls>
            <c:numFmt formatCode="#,##0.00" sourceLinked="1"/>
            <c:dLbl>
              <c:idx val="0"/>
              <c:numFmt formatCode="#,##0.00" sourceLinked="1"/>
              <c:txPr>
                <a:bodyPr wrap="square"/>
                <a:lstStyle/>
                <a:p>
                  <a:pPr>
                    <a:defRPr b="0" sz="900" spc="-1" strike="noStrike">
                      <a:solidFill>
                        <a:srgbClr val="404040"/>
                      </a:solidFill>
                      <a:latin typeface="Calibri"/>
                    </a:defRPr>
                  </a:pPr>
                </a:p>
              </c:txPr>
              <c:dLblPos val="r"/>
              <c:showLegendKey val="0"/>
              <c:showVal val="1"/>
              <c:showCatName val="0"/>
              <c:showSerName val="0"/>
              <c:showPercent val="0"/>
              <c:separator>; </c:separator>
            </c:dLbl>
            <c:dLbl>
              <c:idx val="1"/>
              <c:numFmt formatCode="#,##0.00" sourceLinked="1"/>
              <c:txPr>
                <a:bodyPr wrap="square"/>
                <a:lstStyle/>
                <a:p>
                  <a:pPr>
                    <a:defRPr b="0" sz="900" spc="-1" strike="noStrike">
                      <a:solidFill>
                        <a:srgbClr val="404040"/>
                      </a:solidFill>
                      <a:latin typeface="Calibri"/>
                    </a:defRPr>
                  </a:pPr>
                </a:p>
              </c:txPr>
              <c:dLblPos val="t"/>
              <c:showLegendKey val="1"/>
              <c:showVal val="1"/>
              <c:showCatName val="1"/>
              <c:showSerName val="1"/>
              <c:showPercent val="0"/>
              <c:separator>; </c:separator>
            </c:dLbl>
            <c:dLbl>
              <c:idx val="2"/>
              <c:numFmt formatCode="#,##0.00" sourceLinked="1"/>
              <c:txPr>
                <a:bodyPr wrap="square"/>
                <a:lstStyle/>
                <a:p>
                  <a:pPr>
                    <a:defRPr b="0" sz="900" spc="-1" strike="noStrike">
                      <a:solidFill>
                        <a:srgbClr val="404040"/>
                      </a:solidFill>
                      <a:latin typeface="Calibri"/>
                    </a:defRPr>
                  </a:pPr>
                </a:p>
              </c:txPr>
              <c:dLblPos val="t"/>
              <c:showLegendKey val="1"/>
              <c:showVal val="1"/>
              <c:showCatName val="1"/>
              <c:showSerName val="1"/>
              <c:showPercent val="0"/>
              <c:separator>; </c:separator>
            </c:dLbl>
            <c:dLbl>
              <c:idx val="3"/>
              <c:numFmt formatCode="#,##0.00" sourceLinked="1"/>
              <c:txPr>
                <a:bodyPr wrap="square"/>
                <a:lstStyle/>
                <a:p>
                  <a:pPr>
                    <a:defRPr b="0" sz="900" spc="-1" strike="noStrike">
                      <a:solidFill>
                        <a:srgbClr val="404040"/>
                      </a:solidFill>
                      <a:latin typeface="Calibri"/>
                    </a:defRPr>
                  </a:pPr>
                </a:p>
              </c:txPr>
              <c:dLblPos val="t"/>
              <c:showLegendKey val="1"/>
              <c:showVal val="1"/>
              <c:showCatName val="1"/>
              <c:showSerName val="1"/>
              <c:showPercent val="0"/>
              <c:separator>; </c:separator>
            </c:dLbl>
            <c:dLbl>
              <c:idx val="4"/>
              <c:numFmt formatCode="#,##0.00" sourceLinked="1"/>
              <c:txPr>
                <a:bodyPr wrap="square"/>
                <a:lstStyle/>
                <a:p>
                  <a:pPr>
                    <a:defRPr b="0" sz="900" spc="-1" strike="noStrike">
                      <a:solidFill>
                        <a:srgbClr val="404040"/>
                      </a:solidFill>
                      <a:latin typeface="Calibri"/>
                    </a:defRPr>
                  </a:pPr>
                </a:p>
              </c:txPr>
              <c:dLblPos val="t"/>
              <c:showLegendKey val="1"/>
              <c:showVal val="1"/>
              <c:showCatName val="1"/>
              <c:showSerName val="1"/>
              <c:showPercent val="0"/>
              <c:separator>; </c:separator>
            </c:dLbl>
            <c:dLbl>
              <c:idx val="5"/>
              <c:numFmt formatCode="#,##0.00" sourceLinked="1"/>
              <c:txPr>
                <a:bodyPr wrap="square"/>
                <a:lstStyle/>
                <a:p>
                  <a:pPr>
                    <a:defRPr b="0" sz="900" spc="-1" strike="noStrike">
                      <a:solidFill>
                        <a:srgbClr val="404040"/>
                      </a:solidFill>
                      <a:latin typeface="Calibri"/>
                    </a:defRPr>
                  </a:pPr>
                </a:p>
              </c:txPr>
              <c:dLblPos val="t"/>
              <c:showLegendKey val="1"/>
              <c:showVal val="1"/>
              <c:showCatName val="1"/>
              <c:showSerName val="1"/>
              <c:showPercent val="0"/>
              <c:separator>; </c:separator>
            </c:dLbl>
            <c:txPr>
              <a:bodyPr wrap="square"/>
              <a:lstStyle/>
              <a:p>
                <a:pPr>
                  <a:defRPr b="0" sz="900" spc="-1" strike="noStrike">
                    <a:solidFill>
                      <a:srgbClr val="404040"/>
                    </a:solidFill>
                    <a:latin typeface="Calibri"/>
                  </a:defRPr>
                </a:pPr>
              </a:p>
            </c:txPr>
            <c:dLblPos val="t"/>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'Reduction Trajectory'!$C$7:$I$7</c:f>
              <c:strCache>
                <c:ptCount val="7"/>
                <c:pt idx="0">
                  <c:v>2024</c:v>
                </c:pt>
                <c:pt idx="1">
                  <c:v>2025</c:v>
                </c:pt>
                <c:pt idx="2">
                  <c:v>2026</c:v>
                </c:pt>
                <c:pt idx="3">
                  <c:v>2027</c:v>
                </c:pt>
                <c:pt idx="4">
                  <c:v>2028</c:v>
                </c:pt>
                <c:pt idx="5">
                  <c:v>2029</c:v>
                </c:pt>
                <c:pt idx="6">
                  <c:v>2030</c:v>
                </c:pt>
              </c:strCache>
            </c:strRef>
          </c:cat>
          <c:val>
            <c:numRef>
              <c:f>'Reduction Trajectory'!$C$9:$I$9</c:f>
              <c:numCache>
                <c:formatCode>_(* #,##0.00_);_(* \(#,##0.00\);_(* \-??_);_(@_)</c:formatCode>
                <c:ptCount val="7"/>
                <c:pt idx="0">
                  <c:v>1403800</c:v>
                </c:pt>
                <c:pt idx="1">
                  <c:v>1359931.25</c:v>
                </c:pt>
                <c:pt idx="2">
                  <c:v>1316062.5</c:v>
                </c:pt>
                <c:pt idx="3">
                  <c:v>1272193.75</c:v>
                </c:pt>
                <c:pt idx="4">
                  <c:v>1228325</c:v>
                </c:pt>
                <c:pt idx="5">
                  <c:v>1184456.25</c:v>
                </c:pt>
                <c:pt idx="6">
                  <c:v>1140587.5</c:v>
                </c:pt>
              </c:numCache>
            </c:numRef>
          </c:val>
          <c:smooth val="0"/>
        </c:ser>
        <c:ser>
          <c:idx val="2"/>
          <c:order val="2"/>
          <c:tx>
            <c:strRef>
              <c:f>'Reduction Trajectory'!$B$10</c:f>
              <c:strCache>
                <c:ptCount val="1"/>
                <c:pt idx="0">
                  <c:v>Near-Term Scope 1+2 Target</c:v>
                </c:pt>
              </c:strCache>
            </c:strRef>
          </c:tx>
          <c:spPr>
            <a:solidFill>
              <a:srgbClr val="9bbb59"/>
            </a:solidFill>
            <a:ln w="38160">
              <a:solidFill>
                <a:srgbClr val="9bbb59"/>
              </a:solidFill>
              <a:round/>
            </a:ln>
          </c:spPr>
          <c:marker>
            <c:symbol val="none"/>
          </c:marker>
          <c:dPt>
            <c:idx val="0"/>
            <c:marker>
              <c:symbol val="none"/>
            </c:marker>
          </c:dPt>
          <c:dPt>
            <c:idx val="1"/>
            <c:marker>
              <c:symbol val="none"/>
            </c:marker>
          </c:dPt>
          <c:dPt>
            <c:idx val="2"/>
            <c:marker>
              <c:symbol val="none"/>
            </c:marker>
          </c:dPt>
          <c:dPt>
            <c:idx val="3"/>
            <c:marker>
              <c:symbol val="none"/>
            </c:marker>
          </c:dPt>
          <c:dPt>
            <c:idx val="4"/>
            <c:marker>
              <c:symbol val="none"/>
            </c:marker>
          </c:dPt>
          <c:dPt>
            <c:idx val="5"/>
            <c:marker>
              <c:symbol val="none"/>
            </c:marker>
          </c:dPt>
          <c:dLbls>
            <c:numFmt formatCode="#,##0.00" sourceLinked="1"/>
            <c:dLbl>
              <c:idx val="0"/>
              <c:numFmt formatCode="#,##0.00" sourceLinked="1"/>
              <c:txPr>
                <a:bodyPr wrap="square"/>
                <a:lstStyle/>
                <a:p>
                  <a:pPr>
                    <a:defRPr b="0" sz="900" spc="-1" strike="noStrike">
                      <a:solidFill>
                        <a:srgbClr val="404040"/>
                      </a:solidFill>
                      <a:latin typeface="Calibri"/>
                    </a:defRPr>
                  </a:pPr>
                </a:p>
              </c:txPr>
              <c:dLblPos val="r"/>
              <c:showLegendKey val="0"/>
              <c:showVal val="1"/>
              <c:showCatName val="0"/>
              <c:showSerName val="0"/>
              <c:showPercent val="0"/>
              <c:separator>; </c:separator>
            </c:dLbl>
            <c:dLbl>
              <c:idx val="1"/>
              <c:numFmt formatCode="#,##0.00" sourceLinked="1"/>
              <c:txPr>
                <a:bodyPr wrap="square"/>
                <a:lstStyle/>
                <a:p>
                  <a:pPr>
                    <a:defRPr b="0" sz="900" spc="-1" strike="noStrike">
                      <a:solidFill>
                        <a:srgbClr val="404040"/>
                      </a:solidFill>
                      <a:latin typeface="Calibri"/>
                    </a:defRPr>
                  </a:pPr>
                </a:p>
              </c:txPr>
              <c:dLblPos val="t"/>
              <c:showLegendKey val="1"/>
              <c:showVal val="1"/>
              <c:showCatName val="1"/>
              <c:showSerName val="1"/>
              <c:showPercent val="0"/>
              <c:separator>; </c:separator>
            </c:dLbl>
            <c:dLbl>
              <c:idx val="2"/>
              <c:numFmt formatCode="#,##0.00" sourceLinked="1"/>
              <c:txPr>
                <a:bodyPr wrap="square"/>
                <a:lstStyle/>
                <a:p>
                  <a:pPr>
                    <a:defRPr b="0" sz="900" spc="-1" strike="noStrike">
                      <a:solidFill>
                        <a:srgbClr val="404040"/>
                      </a:solidFill>
                      <a:latin typeface="Calibri"/>
                    </a:defRPr>
                  </a:pPr>
                </a:p>
              </c:txPr>
              <c:dLblPos val="t"/>
              <c:showLegendKey val="1"/>
              <c:showVal val="1"/>
              <c:showCatName val="1"/>
              <c:showSerName val="1"/>
              <c:showPercent val="0"/>
              <c:separator>; </c:separator>
            </c:dLbl>
            <c:dLbl>
              <c:idx val="3"/>
              <c:numFmt formatCode="#,##0.00" sourceLinked="1"/>
              <c:txPr>
                <a:bodyPr wrap="square"/>
                <a:lstStyle/>
                <a:p>
                  <a:pPr>
                    <a:defRPr b="0" sz="900" spc="-1" strike="noStrike">
                      <a:solidFill>
                        <a:srgbClr val="404040"/>
                      </a:solidFill>
                      <a:latin typeface="Calibri"/>
                    </a:defRPr>
                  </a:pPr>
                </a:p>
              </c:txPr>
              <c:dLblPos val="t"/>
              <c:showLegendKey val="1"/>
              <c:showVal val="1"/>
              <c:showCatName val="1"/>
              <c:showSerName val="1"/>
              <c:showPercent val="0"/>
              <c:separator>; </c:separator>
            </c:dLbl>
            <c:dLbl>
              <c:idx val="4"/>
              <c:numFmt formatCode="#,##0.00" sourceLinked="1"/>
              <c:txPr>
                <a:bodyPr wrap="square"/>
                <a:lstStyle/>
                <a:p>
                  <a:pPr>
                    <a:defRPr b="0" sz="900" spc="-1" strike="noStrike">
                      <a:solidFill>
                        <a:srgbClr val="404040"/>
                      </a:solidFill>
                      <a:latin typeface="Calibri"/>
                    </a:defRPr>
                  </a:pPr>
                </a:p>
              </c:txPr>
              <c:dLblPos val="t"/>
              <c:showLegendKey val="1"/>
              <c:showVal val="1"/>
              <c:showCatName val="1"/>
              <c:showSerName val="1"/>
              <c:showPercent val="0"/>
              <c:separator>; </c:separator>
            </c:dLbl>
            <c:dLbl>
              <c:idx val="5"/>
              <c:numFmt formatCode="#,##0.00" sourceLinked="1"/>
              <c:txPr>
                <a:bodyPr wrap="square"/>
                <a:lstStyle/>
                <a:p>
                  <a:pPr>
                    <a:defRPr b="0" sz="900" spc="-1" strike="noStrike">
                      <a:solidFill>
                        <a:srgbClr val="404040"/>
                      </a:solidFill>
                      <a:latin typeface="Calibri"/>
                    </a:defRPr>
                  </a:pPr>
                </a:p>
              </c:txPr>
              <c:dLblPos val="t"/>
              <c:showLegendKey val="1"/>
              <c:showVal val="1"/>
              <c:showCatName val="1"/>
              <c:showSerName val="1"/>
              <c:showPercent val="0"/>
              <c:separator>; </c:separator>
            </c:dLbl>
            <c:txPr>
              <a:bodyPr wrap="square"/>
              <a:lstStyle/>
              <a:p>
                <a:pPr>
                  <a:defRPr b="0" sz="900" spc="-1" strike="noStrike">
                    <a:solidFill>
                      <a:srgbClr val="404040"/>
                    </a:solidFill>
                    <a:latin typeface="Calibri"/>
                  </a:defRPr>
                </a:pPr>
              </a:p>
            </c:txPr>
            <c:dLblPos val="t"/>
            <c:showLegendKey val="0"/>
            <c:showVal val="1"/>
            <c:showCatName val="0"/>
            <c:showSerName val="0"/>
            <c:showPercent val="0"/>
            <c:separator>; </c:separator>
            <c:showLeaderLines val="0"/>
            <c:extLst>
              <c:ext xmlns:c15="http://schemas.microsoft.com/office/drawing/2012/chart" uri="{CE6537A1-D6FC-4f65-9D91-7224C49458BB}">
                <c15:showLeaderLines val="0"/>
              </c:ext>
            </c:extLst>
          </c:dLbls>
          <c:cat>
            <c:strRef>
              <c:f>'Reduction Trajectory'!$C$7:$I$7</c:f>
              <c:strCache>
                <c:ptCount val="7"/>
                <c:pt idx="0">
                  <c:v>2024</c:v>
                </c:pt>
                <c:pt idx="1">
                  <c:v>2025</c:v>
                </c:pt>
                <c:pt idx="2">
                  <c:v>2026</c:v>
                </c:pt>
                <c:pt idx="3">
                  <c:v>2027</c:v>
                </c:pt>
                <c:pt idx="4">
                  <c:v>2028</c:v>
                </c:pt>
                <c:pt idx="5">
                  <c:v>2029</c:v>
                </c:pt>
                <c:pt idx="6">
                  <c:v>2030</c:v>
                </c:pt>
              </c:strCache>
            </c:strRef>
          </c:cat>
          <c:val>
            <c:numRef>
              <c:f>'Reduction Trajectory'!$C$10:$I$10</c:f>
              <c:numCache>
                <c:formatCode>_(* #,##0.00_);_(* \(#,##0.00\);_(* \-??_);_(@_)</c:formatCode>
                <c:ptCount val="7"/>
                <c:pt idx="0">
                  <c:v>600000</c:v>
                </c:pt>
                <c:pt idx="1">
                  <c:v>558000</c:v>
                </c:pt>
                <c:pt idx="2">
                  <c:v>516000</c:v>
                </c:pt>
                <c:pt idx="3">
                  <c:v>474000</c:v>
                </c:pt>
                <c:pt idx="4">
                  <c:v>432000</c:v>
                </c:pt>
                <c:pt idx="5">
                  <c:v>390000</c:v>
                </c:pt>
                <c:pt idx="6">
                  <c:v>348000</c:v>
                </c:pt>
              </c:numCache>
            </c:numRef>
          </c:val>
          <c:smooth val="0"/>
        </c:ser>
        <c:ser>
          <c:idx val="3"/>
          <c:order val="3"/>
          <c:tx>
            <c:strRef>
              <c:f>'Reduction Trajectory'!$B$11</c:f>
              <c:strCache>
                <c:ptCount val="1"/>
                <c:pt idx="0">
                  <c:v>Scope 3 Fleet Electrification Target</c:v>
                </c:pt>
              </c:strCache>
            </c:strRef>
          </c:tx>
          <c:spPr>
            <a:solidFill>
              <a:srgbClr val="8064a2"/>
            </a:solidFill>
            <a:ln w="38160">
              <a:solidFill>
                <a:srgbClr val="8064a2"/>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'Reduction Trajectory'!$C$7:$I$7</c:f>
              <c:strCache>
                <c:ptCount val="7"/>
                <c:pt idx="0">
                  <c:v>2024</c:v>
                </c:pt>
                <c:pt idx="1">
                  <c:v>2025</c:v>
                </c:pt>
                <c:pt idx="2">
                  <c:v>2026</c:v>
                </c:pt>
                <c:pt idx="3">
                  <c:v>2027</c:v>
                </c:pt>
                <c:pt idx="4">
                  <c:v>2028</c:v>
                </c:pt>
                <c:pt idx="5">
                  <c:v>2029</c:v>
                </c:pt>
                <c:pt idx="6">
                  <c:v>2030</c:v>
                </c:pt>
              </c:strCache>
            </c:strRef>
          </c:cat>
          <c:val>
            <c:numRef>
              <c:f>'Reduction Trajectory'!$C$11:$I$11</c:f>
              <c:numCache>
                <c:formatCode>_(* #,##0.00_);_(* \(#,##0.00\);_(* \-??_);_(@_)</c:formatCode>
                <c:ptCount val="7"/>
                <c:pt idx="0">
                  <c:v>1640000</c:v>
                </c:pt>
                <c:pt idx="1">
                  <c:v>1587818.18181818</c:v>
                </c:pt>
                <c:pt idx="2">
                  <c:v>1535636.36363636</c:v>
                </c:pt>
                <c:pt idx="3">
                  <c:v>1483454.54545455</c:v>
                </c:pt>
                <c:pt idx="4">
                  <c:v>1431272.72727273</c:v>
                </c:pt>
                <c:pt idx="5">
                  <c:v>1379090.90909091</c:v>
                </c:pt>
                <c:pt idx="6">
                  <c:v>1326909.09090909</c:v>
                </c:pt>
              </c:numCache>
            </c:numRef>
          </c:val>
          <c:smooth val="0"/>
        </c:ser>
        <c:hiLowLines>
          <c:spPr>
            <a:ln w="0">
              <a:noFill/>
            </a:ln>
          </c:spPr>
        </c:hiLowLines>
        <c:marker val="0"/>
        <c:axId val="47150913"/>
        <c:axId val="19231336"/>
      </c:lineChart>
      <c:catAx>
        <c:axId val="47150913"/>
        <c:scaling>
          <c:orientation val="minMax"/>
        </c:scaling>
        <c:delete val="0"/>
        <c:axPos val="b"/>
        <c:numFmt formatCode="General" sourceLinked="0"/>
        <c:majorTickMark val="none"/>
        <c:minorTickMark val="none"/>
        <c:tickLblPos val="nextTo"/>
        <c:spPr>
          <a:ln w="3240">
            <a:solidFill>
              <a:srgbClr val="d9d9d9"/>
            </a:solidFill>
            <a:round/>
          </a:ln>
        </c:spPr>
        <c:txPr>
          <a:bodyPr/>
          <a:lstStyle/>
          <a:p>
            <a:pPr>
              <a:defRPr b="0" sz="900" spc="-1" strike="noStrike">
                <a:solidFill>
                  <a:srgbClr val="595959"/>
                </a:solidFill>
                <a:latin typeface="Calibri"/>
              </a:defRPr>
            </a:pPr>
          </a:p>
        </c:txPr>
        <c:crossAx val="19231336"/>
        <c:crosses val="autoZero"/>
        <c:auto val="1"/>
        <c:lblAlgn val="ctr"/>
        <c:lblOffset val="100"/>
        <c:noMultiLvlLbl val="0"/>
      </c:catAx>
      <c:valAx>
        <c:axId val="19231336"/>
        <c:scaling>
          <c:orientation val="minMax"/>
          <c:max val="20000000"/>
        </c:scaling>
        <c:delete val="0"/>
        <c:axPos val="l"/>
        <c:majorGridlines>
          <c:spPr>
            <a:ln w="9360">
              <a:solidFill>
                <a:srgbClr val="d9d9d9"/>
              </a:solidFill>
              <a:round/>
            </a:ln>
          </c:spPr>
        </c:majorGridlines>
        <c:title>
          <c:tx>
            <c:rich>
              <a:bodyPr rot="-5400000"/>
              <a:lstStyle/>
              <a:p>
                <a:pPr>
                  <a:defRPr b="0" lang="en-US" sz="900" spc="-1" strike="noStrike">
                    <a:solidFill>
                      <a:srgbClr val="595959"/>
                    </a:solidFill>
                    <a:latin typeface="Calibri"/>
                  </a:defRPr>
                </a:pPr>
                <a:r>
                  <a:rPr b="0" lang="en-US" sz="900" spc="-1" strike="noStrike">
                    <a:solidFill>
                      <a:srgbClr val="595959"/>
                    </a:solidFill>
                    <a:latin typeface="Calibri"/>
                  </a:rPr>
                  <a:t> (tCO₂e)</a:t>
                </a:r>
              </a:p>
            </c:rich>
          </c:tx>
          <c:overlay val="0"/>
          <c:spPr>
            <a:noFill/>
            <a:ln w="0">
              <a:noFill/>
            </a:ln>
          </c:spPr>
        </c:title>
        <c:numFmt formatCode="_(* #,##0.00_);_(* \(#,##0.00\);_(* \-??_);_(@_)" sourceLinked="0"/>
        <c:majorTickMark val="none"/>
        <c:minorTickMark val="none"/>
        <c:tickLblPos val="nextTo"/>
        <c:spPr>
          <a:ln w="3240">
            <a:solidFill>
              <a:srgbClr val="d9d9d9"/>
            </a:solidFill>
            <a:round/>
          </a:ln>
        </c:spPr>
        <c:txPr>
          <a:bodyPr/>
          <a:lstStyle/>
          <a:p>
            <a:pPr>
              <a:defRPr b="0" sz="900" spc="-1" strike="noStrike">
                <a:solidFill>
                  <a:srgbClr val="595959"/>
                </a:solidFill>
                <a:latin typeface="Calibri"/>
              </a:defRPr>
            </a:pPr>
          </a:p>
        </c:txPr>
        <c:crossAx val="47150913"/>
        <c:crosses val="autoZero"/>
        <c:crossBetween val="between"/>
      </c:valAx>
      <c:spPr>
        <a:noFill/>
        <a:ln w="0">
          <a:noFill/>
        </a:ln>
      </c:spPr>
    </c:plotArea>
    <c:legend>
      <c:legendPos val="r"/>
      <c:layout>
        <c:manualLayout>
          <c:xMode val="edge"/>
          <c:yMode val="edge"/>
          <c:x val="0.733097778726699"/>
          <c:y val="0.213510021017931"/>
          <c:w val="0.212699199933639"/>
          <c:h val="0.329178571239493"/>
        </c:manualLayout>
      </c:layout>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924480</xdr:colOff>
      <xdr:row>33</xdr:row>
      <xdr:rowOff>122040</xdr:rowOff>
    </xdr:from>
    <xdr:to>
      <xdr:col>8</xdr:col>
      <xdr:colOff>472680</xdr:colOff>
      <xdr:row>56</xdr:row>
      <xdr:rowOff>64080</xdr:rowOff>
    </xdr:to>
    <xdr:graphicFrame>
      <xdr:nvGraphicFramePr>
        <xdr:cNvPr id="0" name="Chart 1"/>
        <xdr:cNvGraphicFramePr/>
      </xdr:nvGraphicFramePr>
      <xdr:xfrm>
        <a:off x="1049040" y="8761320"/>
        <a:ext cx="9398880" cy="4542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1066680</xdr:colOff>
      <xdr:row>0</xdr:row>
      <xdr:rowOff>187200</xdr:rowOff>
    </xdr:from>
    <xdr:to>
      <xdr:col>2</xdr:col>
      <xdr:colOff>1882440</xdr:colOff>
      <xdr:row>1</xdr:row>
      <xdr:rowOff>83160</xdr:rowOff>
    </xdr:to>
    <xdr:pic>
      <xdr:nvPicPr>
        <xdr:cNvPr id="1" name="Picture 1" descr=""/>
        <xdr:cNvPicPr/>
      </xdr:nvPicPr>
      <xdr:blipFill>
        <a:blip r:embed="rId1"/>
        <a:stretch/>
      </xdr:blipFill>
      <xdr:spPr>
        <a:xfrm>
          <a:off x="1302120" y="187200"/>
          <a:ext cx="1958760" cy="915120"/>
        </a:xfrm>
        <a:prstGeom prst="rect">
          <a:avLst/>
        </a:prstGeom>
        <a:ln w="3175">
          <a:noFill/>
        </a:ln>
      </xdr:spPr>
    </xdr:pic>
    <xdr:clientData/>
  </xdr:twoCellAnchor>
  <xdr:twoCellAnchor editAs="oneCell">
    <xdr:from>
      <xdr:col>2</xdr:col>
      <xdr:colOff>1153080</xdr:colOff>
      <xdr:row>375</xdr:row>
      <xdr:rowOff>75240</xdr:rowOff>
    </xdr:from>
    <xdr:to>
      <xdr:col>5</xdr:col>
      <xdr:colOff>948960</xdr:colOff>
      <xdr:row>404</xdr:row>
      <xdr:rowOff>147960</xdr:rowOff>
    </xdr:to>
    <xdr:pic>
      <xdr:nvPicPr>
        <xdr:cNvPr id="2" name="Picture 2" descr=""/>
        <xdr:cNvPicPr/>
      </xdr:nvPicPr>
      <xdr:blipFill>
        <a:blip r:embed="rId2"/>
        <a:stretch/>
      </xdr:blipFill>
      <xdr:spPr>
        <a:xfrm>
          <a:off x="2531520" y="66045240"/>
          <a:ext cx="6382800" cy="47685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epa.gov/system/files/documents/2023-03/ghg_emission_factors_hub.pdf"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www.epa.gov/system/files/documents/2024-02/ghg-emission-factors-hub-2024.pdf" TargetMode="Externa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hyperlink" Target="https://www.ecfr.gov/current/title-40/chapter-I/subchapter-C/part-98" TargetMode="External"/><Relationship Id="rId2" Type="http://schemas.openxmlformats.org/officeDocument/2006/relationships/hyperlink" Target="https://www.ecfr.gov/current/title-40/chapter-I/subchapter-C/part-98" TargetMode="External"/><Relationship Id="rId3" Type="http://schemas.openxmlformats.org/officeDocument/2006/relationships/hyperlink" Target="https://www.epa.gov/ghgemissions/inventory-us-greenhouse-gas-emissions-and-sinks" TargetMode="External"/><Relationship Id="rId4" Type="http://schemas.openxmlformats.org/officeDocument/2006/relationships/hyperlink" Target="https://www.epa.gov/ghgemissions/inventory-us-greenhouse-gas-emissions-and-sinks" TargetMode="External"/><Relationship Id="rId5" Type="http://schemas.openxmlformats.org/officeDocument/2006/relationships/hyperlink" Target="https://www.epa.gov/ghgemissions/inventory-us-greenhouse-gas-emissions-and-sinks" TargetMode="External"/><Relationship Id="rId6" Type="http://schemas.openxmlformats.org/officeDocument/2006/relationships/hyperlink" Target="https://www.epa.gov/system/files/documents/2025-01/egrid2023_summary_tables.xlsx" TargetMode="External"/><Relationship Id="rId7" Type="http://schemas.openxmlformats.org/officeDocument/2006/relationships/hyperlink" Target="https://www.epa.gov/system/files/documents/2025-01/egrid2023_technical_guide.pdf" TargetMode="External"/><Relationship Id="rId8" Type="http://schemas.openxmlformats.org/officeDocument/2006/relationships/hyperlink" Target="https://www.epa.gov/warm" TargetMode="External"/><Relationship Id="rId9" Type="http://schemas.openxmlformats.org/officeDocument/2006/relationships/hyperlink" Target="https://www.epa.gov/climateleadership/ghg-emission-factors-hub" TargetMode="External"/><Relationship Id="rId10"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8A020"/>
    <pageSetUpPr fitToPage="false"/>
  </sheetPr>
  <dimension ref="A1:F37"/>
  <sheetViews>
    <sheetView showFormulas="false" showGridLines="false" showRowColHeaders="true" showZeros="true" rightToLeft="false" tabSelected="false" showOutlineSymbols="true" defaultGridColor="true" view="normal" topLeftCell="A1" colorId="64" zoomScale="123" zoomScaleNormal="123" zoomScalePageLayoutView="100" workbookViewId="0">
      <pane xSplit="0" ySplit="3" topLeftCell="A26" activePane="bottomLeft" state="frozen"/>
      <selection pane="topLeft" activeCell="A1" activeCellId="0" sqref="A1"/>
      <selection pane="bottomLeft" activeCell="B33" activeCellId="0" sqref="B33"/>
    </sheetView>
  </sheetViews>
  <sheetFormatPr defaultColWidth="8.66796875" defaultRowHeight="14.25" zeroHeight="false" outlineLevelRow="0" outlineLevelCol="0"/>
  <cols>
    <col collapsed="false" customWidth="true" hidden="false" outlineLevel="0" max="1" min="1" style="1" width="29.21"/>
    <col collapsed="false" customWidth="true" hidden="false" outlineLevel="0" max="2" min="2" style="1" width="35.77"/>
    <col collapsed="false" customWidth="true" hidden="false" outlineLevel="0" max="5" min="3" style="1" width="16"/>
    <col collapsed="false" customWidth="true" hidden="false" outlineLevel="0" max="6" min="6" style="1" width="26"/>
  </cols>
  <sheetData>
    <row r="1" customFormat="false" ht="48" hidden="false" customHeight="true" outlineLevel="0" collapsed="false">
      <c r="A1" s="2" t="s">
        <v>0</v>
      </c>
      <c r="B1" s="2"/>
      <c r="C1" s="2"/>
      <c r="D1" s="2"/>
      <c r="E1" s="2"/>
      <c r="F1" s="2"/>
    </row>
    <row r="2" customFormat="false" ht="19.5" hidden="false" customHeight="true" outlineLevel="0" collapsed="false">
      <c r="A2" s="3" t="s">
        <v>1</v>
      </c>
      <c r="B2" s="3"/>
      <c r="C2" s="3"/>
      <c r="D2" s="3"/>
      <c r="E2" s="3"/>
      <c r="F2" s="3"/>
    </row>
    <row r="4" customFormat="false" ht="21.75" hidden="false" customHeight="true" outlineLevel="0" collapsed="false">
      <c r="A4" s="4" t="s">
        <v>2</v>
      </c>
      <c r="B4" s="4"/>
      <c r="C4" s="4"/>
      <c r="D4" s="4"/>
      <c r="E4" s="4"/>
      <c r="F4" s="4"/>
    </row>
    <row r="9" customFormat="false" ht="19.5" hidden="false" customHeight="true" outlineLevel="0" collapsed="false">
      <c r="A9" s="5" t="s">
        <v>3</v>
      </c>
      <c r="B9" s="6" t="s">
        <v>4</v>
      </c>
      <c r="C9" s="7" t="s">
        <v>5</v>
      </c>
    </row>
    <row r="10" customFormat="false" ht="19.5" hidden="false" customHeight="true" outlineLevel="0" collapsed="false">
      <c r="A10" s="8" t="s">
        <v>6</v>
      </c>
      <c r="B10" s="6" t="s">
        <v>7</v>
      </c>
      <c r="C10" s="9" t="s">
        <v>8</v>
      </c>
    </row>
    <row r="11" customFormat="false" ht="19.5" hidden="false" customHeight="true" outlineLevel="0" collapsed="false">
      <c r="A11" s="5" t="s">
        <v>9</v>
      </c>
      <c r="B11" s="6" t="s">
        <v>10</v>
      </c>
      <c r="C11" s="7" t="s">
        <v>11</v>
      </c>
    </row>
    <row r="12" customFormat="false" ht="19.5" hidden="false" customHeight="true" outlineLevel="0" collapsed="false">
      <c r="A12" s="8" t="s">
        <v>12</v>
      </c>
      <c r="B12" s="6" t="n">
        <v>2024</v>
      </c>
      <c r="C12" s="9" t="s">
        <v>13</v>
      </c>
    </row>
    <row r="13" customFormat="false" ht="19.5" hidden="false" customHeight="true" outlineLevel="0" collapsed="false">
      <c r="A13" s="5" t="s">
        <v>14</v>
      </c>
      <c r="B13" s="6" t="n">
        <v>2023</v>
      </c>
      <c r="C13" s="7" t="s">
        <v>15</v>
      </c>
    </row>
    <row r="14" customFormat="false" ht="21.75" hidden="false" customHeight="true" outlineLevel="0" collapsed="false">
      <c r="A14" s="10" t="s">
        <v>16</v>
      </c>
      <c r="B14" s="10"/>
      <c r="C14" s="10"/>
      <c r="D14" s="10"/>
      <c r="E14" s="10"/>
      <c r="F14" s="10"/>
    </row>
    <row r="15" customFormat="false" ht="19.5" hidden="false" customHeight="true" outlineLevel="0" collapsed="false">
      <c r="A15" s="10" t="s">
        <v>17</v>
      </c>
      <c r="B15" s="11" t="n">
        <v>3850</v>
      </c>
      <c r="C15" s="12" t="s">
        <v>18</v>
      </c>
      <c r="D15" s="13" t="s">
        <v>19</v>
      </c>
      <c r="E15" s="13"/>
      <c r="F15" s="13"/>
    </row>
    <row r="16" customFormat="false" ht="19.5" hidden="false" customHeight="true" outlineLevel="0" collapsed="false">
      <c r="A16" s="14" t="s">
        <v>20</v>
      </c>
      <c r="B16" s="11" t="n">
        <v>14200</v>
      </c>
      <c r="C16" s="12" t="s">
        <v>21</v>
      </c>
      <c r="D16" s="13" t="s">
        <v>22</v>
      </c>
      <c r="E16" s="13"/>
      <c r="F16" s="13"/>
    </row>
    <row r="17" customFormat="false" ht="19.5" hidden="false" customHeight="true" outlineLevel="0" collapsed="false">
      <c r="A17" s="10" t="s">
        <v>23</v>
      </c>
      <c r="B17" s="15" t="s">
        <v>24</v>
      </c>
      <c r="C17" s="16" t="s">
        <v>25</v>
      </c>
      <c r="D17" s="13" t="s">
        <v>26</v>
      </c>
      <c r="E17" s="13"/>
      <c r="F17" s="13"/>
    </row>
    <row r="18" customFormat="false" ht="19.5" hidden="false" customHeight="true" outlineLevel="0" collapsed="false">
      <c r="A18" s="14" t="s">
        <v>27</v>
      </c>
      <c r="B18" s="15" t="s">
        <v>24</v>
      </c>
      <c r="C18" s="16" t="s">
        <v>28</v>
      </c>
      <c r="D18" s="13" t="s">
        <v>29</v>
      </c>
      <c r="E18" s="13"/>
      <c r="F18" s="13"/>
    </row>
    <row r="19" customFormat="false" ht="19.5" hidden="false" customHeight="true" outlineLevel="0" collapsed="false">
      <c r="A19" s="10" t="s">
        <v>30</v>
      </c>
      <c r="B19" s="15" t="s">
        <v>31</v>
      </c>
      <c r="C19" s="12" t="s">
        <v>32</v>
      </c>
      <c r="D19" s="13" t="s">
        <v>33</v>
      </c>
      <c r="E19" s="13"/>
      <c r="F19" s="13"/>
    </row>
    <row r="21" customFormat="false" ht="21.75" hidden="false" customHeight="true" outlineLevel="0" collapsed="false">
      <c r="A21" s="17" t="s">
        <v>34</v>
      </c>
      <c r="B21" s="17"/>
      <c r="C21" s="17"/>
      <c r="D21" s="17"/>
      <c r="E21" s="17"/>
      <c r="F21" s="17"/>
    </row>
    <row r="22" customFormat="false" ht="18" hidden="false" customHeight="true" outlineLevel="0" collapsed="false">
      <c r="A22" s="18" t="s">
        <v>35</v>
      </c>
      <c r="B22" s="18"/>
      <c r="C22" s="18"/>
      <c r="D22" s="18"/>
      <c r="E22" s="18"/>
      <c r="F22" s="18"/>
    </row>
    <row r="23" customFormat="false" ht="19.5" hidden="false" customHeight="true" outlineLevel="0" collapsed="false">
      <c r="A23" s="19" t="s">
        <v>36</v>
      </c>
      <c r="B23" s="19" t="s">
        <v>37</v>
      </c>
      <c r="C23" s="19" t="s">
        <v>38</v>
      </c>
      <c r="D23" s="19" t="s">
        <v>39</v>
      </c>
      <c r="E23" s="19" t="s">
        <v>40</v>
      </c>
      <c r="F23" s="19" t="s">
        <v>41</v>
      </c>
    </row>
    <row r="24" customFormat="false" ht="19.5" hidden="false" customHeight="true" outlineLevel="0" collapsed="false">
      <c r="A24" s="20" t="s">
        <v>42</v>
      </c>
      <c r="B24" s="21" t="s">
        <v>43</v>
      </c>
      <c r="C24" s="22" t="n">
        <v>1</v>
      </c>
      <c r="D24" s="21" t="n">
        <v>1</v>
      </c>
      <c r="E24" s="15" t="n">
        <v>1</v>
      </c>
      <c r="F24" s="21" t="s">
        <v>44</v>
      </c>
    </row>
    <row r="25" customFormat="false" ht="19.5" hidden="false" customHeight="true" outlineLevel="0" collapsed="false">
      <c r="A25" s="20" t="s">
        <v>45</v>
      </c>
      <c r="B25" s="21" t="s">
        <v>46</v>
      </c>
      <c r="C25" s="22" t="n">
        <v>29.8</v>
      </c>
      <c r="D25" s="21" t="n">
        <v>25</v>
      </c>
      <c r="E25" s="15" t="n">
        <v>29.8</v>
      </c>
      <c r="F25" s="21" t="s">
        <v>47</v>
      </c>
    </row>
    <row r="26" customFormat="false" ht="19.5" hidden="false" customHeight="true" outlineLevel="0" collapsed="false">
      <c r="A26" s="20" t="s">
        <v>48</v>
      </c>
      <c r="B26" s="21" t="s">
        <v>46</v>
      </c>
      <c r="C26" s="22" t="n">
        <v>27.9</v>
      </c>
      <c r="D26" s="21" t="n">
        <v>25</v>
      </c>
      <c r="E26" s="15" t="n">
        <v>27.9</v>
      </c>
      <c r="F26" s="21" t="s">
        <v>47</v>
      </c>
    </row>
    <row r="27" customFormat="false" ht="19.5" hidden="false" customHeight="true" outlineLevel="0" collapsed="false">
      <c r="A27" s="20" t="s">
        <v>49</v>
      </c>
      <c r="B27" s="21" t="s">
        <v>50</v>
      </c>
      <c r="C27" s="22" t="n">
        <v>273</v>
      </c>
      <c r="D27" s="21" t="n">
        <v>298</v>
      </c>
      <c r="E27" s="15" t="n">
        <v>273</v>
      </c>
      <c r="F27" s="21" t="s">
        <v>47</v>
      </c>
    </row>
    <row r="28" customFormat="false" ht="19.5" hidden="false" customHeight="true" outlineLevel="0" collapsed="false">
      <c r="A28" s="20" t="s">
        <v>51</v>
      </c>
      <c r="B28" s="21" t="s">
        <v>52</v>
      </c>
      <c r="C28" s="22" t="n">
        <v>1526</v>
      </c>
      <c r="D28" s="21" t="n">
        <v>1430</v>
      </c>
      <c r="E28" s="15" t="n">
        <v>1526</v>
      </c>
      <c r="F28" s="21" t="s">
        <v>53</v>
      </c>
    </row>
    <row r="29" customFormat="false" ht="19.5" hidden="false" customHeight="true" outlineLevel="0" collapsed="false">
      <c r="A29" s="20" t="s">
        <v>54</v>
      </c>
      <c r="B29" s="21" t="s">
        <v>55</v>
      </c>
      <c r="C29" s="22" t="n">
        <v>25200</v>
      </c>
      <c r="D29" s="21" t="n">
        <v>22800</v>
      </c>
      <c r="E29" s="15" t="n">
        <v>25200</v>
      </c>
      <c r="F29" s="21" t="s">
        <v>53</v>
      </c>
    </row>
    <row r="32" customFormat="false" ht="14.25" hidden="false" customHeight="true" outlineLevel="0" collapsed="false">
      <c r="A32" s="23" t="s">
        <v>56</v>
      </c>
      <c r="B32" s="24" t="s">
        <v>57</v>
      </c>
      <c r="C32" s="24" t="s">
        <v>58</v>
      </c>
    </row>
    <row r="33" customFormat="false" ht="14.25" hidden="false" customHeight="true" outlineLevel="0" collapsed="false">
      <c r="A33" s="25" t="n">
        <v>2024</v>
      </c>
      <c r="B33" s="26" t="n">
        <v>3850</v>
      </c>
      <c r="C33" s="27" t="n">
        <v>14200</v>
      </c>
    </row>
    <row r="34" customFormat="false" ht="14.25" hidden="false" customHeight="true" outlineLevel="0" collapsed="false">
      <c r="A34" s="25" t="n">
        <v>2023</v>
      </c>
      <c r="B34" s="26" t="n">
        <v>3520</v>
      </c>
      <c r="C34" s="27" t="n">
        <v>13600</v>
      </c>
    </row>
    <row r="35" customFormat="false" ht="14.25" hidden="false" customHeight="true" outlineLevel="0" collapsed="false">
      <c r="A35" s="25" t="n">
        <v>2022</v>
      </c>
      <c r="B35" s="26" t="n">
        <v>3210</v>
      </c>
      <c r="C35" s="27" t="n">
        <v>12800</v>
      </c>
    </row>
    <row r="36" customFormat="false" ht="14.25" hidden="false" customHeight="true" outlineLevel="0" collapsed="false">
      <c r="A36" s="25" t="n">
        <v>2021</v>
      </c>
      <c r="B36" s="26" t="n">
        <v>2840</v>
      </c>
      <c r="C36" s="27" t="n">
        <v>11500</v>
      </c>
    </row>
    <row r="37" customFormat="false" ht="14.25" hidden="false" customHeight="true" outlineLevel="0" collapsed="false">
      <c r="A37" s="25" t="n">
        <v>2020</v>
      </c>
      <c r="B37" s="26" t="n">
        <v>2450</v>
      </c>
      <c r="C37" s="27" t="n">
        <v>10200</v>
      </c>
    </row>
  </sheetData>
  <mergeCells count="11">
    <mergeCell ref="A1:F1"/>
    <mergeCell ref="A2:F2"/>
    <mergeCell ref="A4:F4"/>
    <mergeCell ref="A14:F14"/>
    <mergeCell ref="D15:F15"/>
    <mergeCell ref="D16:F16"/>
    <mergeCell ref="D17:F17"/>
    <mergeCell ref="D18:F18"/>
    <mergeCell ref="D19:F19"/>
    <mergeCell ref="A21:F21"/>
    <mergeCell ref="A22: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A6B72"/>
    <pageSetUpPr fitToPage="false"/>
  </sheetPr>
  <dimension ref="A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15" activePane="bottomLeft" state="frozen"/>
      <selection pane="topLeft" activeCell="A1" activeCellId="0" sqref="A1"/>
      <selection pane="bottomLeft" activeCell="C8" activeCellId="0" sqref="C8"/>
    </sheetView>
  </sheetViews>
  <sheetFormatPr defaultColWidth="8.66796875" defaultRowHeight="14.25" zeroHeight="false" outlineLevelRow="0" outlineLevelCol="0"/>
  <cols>
    <col collapsed="false" customWidth="true" hidden="false" outlineLevel="0" max="1" min="1" style="1" width="8"/>
    <col collapsed="false" customWidth="true" hidden="false" outlineLevel="0" max="2" min="2" style="1" width="19.56"/>
    <col collapsed="false" customWidth="true" hidden="false" outlineLevel="0" max="4" min="3" style="1" width="18"/>
    <col collapsed="false" customWidth="true" hidden="false" outlineLevel="0" max="5" min="5" style="1" width="14"/>
    <col collapsed="false" customWidth="true" hidden="false" outlineLevel="0" max="6" min="6" style="1" width="22.33"/>
    <col collapsed="false" customWidth="true" hidden="false" outlineLevel="0" max="7" min="7" style="1" width="28"/>
    <col collapsed="false" customWidth="false" hidden="false" outlineLevel="0" max="16384" min="8" style="1" width="8.67"/>
  </cols>
  <sheetData>
    <row r="1" customFormat="false" ht="48" hidden="false" customHeight="true" outlineLevel="0" collapsed="false">
      <c r="A1" s="2" t="s">
        <v>59</v>
      </c>
      <c r="B1" s="2"/>
      <c r="C1" s="2"/>
      <c r="D1" s="2"/>
      <c r="E1" s="2"/>
      <c r="F1" s="2"/>
      <c r="G1" s="2"/>
    </row>
    <row r="2" customFormat="false" ht="19.5" hidden="false" customHeight="true" outlineLevel="0" collapsed="false">
      <c r="A2" s="3" t="s">
        <v>60</v>
      </c>
      <c r="B2" s="3"/>
      <c r="C2" s="3"/>
      <c r="D2" s="3"/>
      <c r="E2" s="3"/>
      <c r="F2" s="3"/>
      <c r="G2" s="3"/>
    </row>
    <row r="4" customFormat="false" ht="21.75" hidden="false" customHeight="true" outlineLevel="0" collapsed="false">
      <c r="A4" s="28" t="s">
        <v>61</v>
      </c>
      <c r="B4" s="28"/>
      <c r="C4" s="28"/>
      <c r="D4" s="28"/>
      <c r="E4" s="28"/>
      <c r="F4" s="28"/>
      <c r="G4" s="28"/>
    </row>
    <row r="5" customFormat="false" ht="27.75" hidden="false" customHeight="true" outlineLevel="0" collapsed="false">
      <c r="A5" s="29" t="s">
        <v>62</v>
      </c>
      <c r="B5" s="29" t="s">
        <v>63</v>
      </c>
      <c r="C5" s="29" t="s">
        <v>64</v>
      </c>
      <c r="D5" s="29" t="s">
        <v>65</v>
      </c>
      <c r="E5" s="29" t="s">
        <v>66</v>
      </c>
      <c r="F5" s="29" t="s">
        <v>67</v>
      </c>
      <c r="G5" s="29" t="s">
        <v>41</v>
      </c>
    </row>
    <row r="6" customFormat="false" ht="18" hidden="false" customHeight="true" outlineLevel="0" collapsed="false">
      <c r="A6" s="30" t="n">
        <v>1</v>
      </c>
      <c r="B6" s="31" t="s">
        <v>68</v>
      </c>
      <c r="C6" s="32" t="s">
        <v>69</v>
      </c>
      <c r="D6" s="33" t="n">
        <v>53.06</v>
      </c>
      <c r="E6" s="33" t="n">
        <v>1</v>
      </c>
      <c r="F6" s="33" t="n">
        <v>0.1</v>
      </c>
      <c r="G6" s="32" t="s">
        <v>70</v>
      </c>
    </row>
    <row r="7" customFormat="false" ht="18" hidden="false" customHeight="true" outlineLevel="0" collapsed="false">
      <c r="A7" s="30" t="n">
        <v>2</v>
      </c>
      <c r="B7" s="34" t="s">
        <v>68</v>
      </c>
      <c r="C7" s="35" t="s">
        <v>71</v>
      </c>
      <c r="D7" s="36" t="n">
        <v>1.879</v>
      </c>
      <c r="E7" s="36" t="n">
        <v>0.0354</v>
      </c>
      <c r="F7" s="36" t="n">
        <v>0.00354</v>
      </c>
      <c r="G7" s="35" t="s">
        <v>72</v>
      </c>
    </row>
    <row r="8" customFormat="false" ht="18" hidden="false" customHeight="true" outlineLevel="0" collapsed="false">
      <c r="A8" s="30" t="n">
        <v>3</v>
      </c>
      <c r="B8" s="31" t="s">
        <v>73</v>
      </c>
      <c r="C8" s="32" t="s">
        <v>74</v>
      </c>
      <c r="D8" s="33" t="n">
        <v>5.68</v>
      </c>
      <c r="E8" s="33" t="n">
        <v>0.226</v>
      </c>
      <c r="F8" s="33" t="n">
        <v>0.023</v>
      </c>
      <c r="G8" s="32" t="s">
        <v>70</v>
      </c>
    </row>
    <row r="9" customFormat="false" ht="18" hidden="false" customHeight="true" outlineLevel="0" collapsed="false">
      <c r="A9" s="30" t="n">
        <v>4</v>
      </c>
      <c r="B9" s="34" t="s">
        <v>75</v>
      </c>
      <c r="C9" s="35" t="s">
        <v>74</v>
      </c>
      <c r="D9" s="36" t="n">
        <v>10.21</v>
      </c>
      <c r="E9" s="36" t="n">
        <v>0.41</v>
      </c>
      <c r="F9" s="36" t="n">
        <v>0.08</v>
      </c>
      <c r="G9" s="35" t="s">
        <v>70</v>
      </c>
    </row>
    <row r="10" customFormat="false" ht="18" hidden="false" customHeight="true" outlineLevel="0" collapsed="false">
      <c r="A10" s="30" t="n">
        <v>5</v>
      </c>
      <c r="B10" s="31" t="s">
        <v>75</v>
      </c>
      <c r="C10" s="32" t="s">
        <v>76</v>
      </c>
      <c r="D10" s="33" t="n">
        <v>2.663</v>
      </c>
      <c r="E10" s="33" t="n">
        <v>0.139</v>
      </c>
      <c r="F10" s="33" t="n">
        <v>0.014</v>
      </c>
      <c r="G10" s="32" t="s">
        <v>72</v>
      </c>
    </row>
    <row r="11" customFormat="false" ht="18" hidden="false" customHeight="true" outlineLevel="0" collapsed="false">
      <c r="A11" s="30" t="n">
        <v>6</v>
      </c>
      <c r="B11" s="34" t="s">
        <v>77</v>
      </c>
      <c r="C11" s="35" t="s">
        <v>74</v>
      </c>
      <c r="D11" s="36" t="n">
        <v>11.27</v>
      </c>
      <c r="E11" s="36" t="n">
        <v>0.48</v>
      </c>
      <c r="F11" s="36" t="n">
        <v>0.1</v>
      </c>
      <c r="G11" s="35" t="s">
        <v>70</v>
      </c>
    </row>
    <row r="12" customFormat="false" ht="18" hidden="false" customHeight="true" outlineLevel="0" collapsed="false">
      <c r="A12" s="30" t="n">
        <v>7</v>
      </c>
      <c r="B12" s="31" t="s">
        <v>77</v>
      </c>
      <c r="C12" s="32" t="s">
        <v>76</v>
      </c>
      <c r="D12" s="33" t="n">
        <v>3.122</v>
      </c>
      <c r="E12" s="33" t="n">
        <v>0.139</v>
      </c>
      <c r="F12" s="33" t="n">
        <v>0.014</v>
      </c>
      <c r="G12" s="32" t="s">
        <v>72</v>
      </c>
    </row>
    <row r="13" customFormat="false" ht="18" hidden="false" customHeight="true" outlineLevel="0" collapsed="false">
      <c r="A13" s="30" t="n">
        <v>8</v>
      </c>
      <c r="B13" s="34" t="s">
        <v>78</v>
      </c>
      <c r="C13" s="35" t="s">
        <v>74</v>
      </c>
      <c r="D13" s="36" t="n">
        <v>5.68</v>
      </c>
      <c r="E13" s="36" t="n">
        <v>0.226</v>
      </c>
      <c r="F13" s="36" t="n">
        <v>0.023</v>
      </c>
      <c r="G13" s="35" t="s">
        <v>70</v>
      </c>
    </row>
    <row r="14" customFormat="false" ht="18" hidden="false" customHeight="true" outlineLevel="0" collapsed="false">
      <c r="A14" s="30" t="n">
        <v>9</v>
      </c>
      <c r="B14" s="31" t="s">
        <v>78</v>
      </c>
      <c r="C14" s="32" t="s">
        <v>76</v>
      </c>
      <c r="D14" s="33" t="n">
        <v>1.555</v>
      </c>
      <c r="E14" s="33" t="n">
        <v>0.0617</v>
      </c>
      <c r="F14" s="33" t="n">
        <v>0.0062</v>
      </c>
      <c r="G14" s="32" t="s">
        <v>72</v>
      </c>
    </row>
    <row r="15" customFormat="false" ht="18" hidden="false" customHeight="true" outlineLevel="0" collapsed="false">
      <c r="A15" s="30" t="n">
        <v>10</v>
      </c>
      <c r="B15" s="34" t="s">
        <v>79</v>
      </c>
      <c r="C15" s="35" t="s">
        <v>80</v>
      </c>
      <c r="D15" s="36" t="n">
        <v>2325</v>
      </c>
      <c r="E15" s="36" t="n">
        <v>274</v>
      </c>
      <c r="F15" s="36" t="n">
        <v>40</v>
      </c>
      <c r="G15" s="35" t="s">
        <v>70</v>
      </c>
    </row>
    <row r="16" customFormat="false" ht="18" hidden="false" customHeight="true" outlineLevel="0" collapsed="false">
      <c r="A16" s="30" t="n">
        <v>11</v>
      </c>
      <c r="B16" s="31" t="s">
        <v>81</v>
      </c>
      <c r="C16" s="32" t="s">
        <v>80</v>
      </c>
      <c r="D16" s="33" t="n">
        <v>1676</v>
      </c>
      <c r="E16" s="33" t="n">
        <v>190</v>
      </c>
      <c r="F16" s="33" t="n">
        <v>28</v>
      </c>
      <c r="G16" s="32" t="s">
        <v>70</v>
      </c>
    </row>
    <row r="17" customFormat="false" ht="18" hidden="false" customHeight="true" outlineLevel="0" collapsed="false">
      <c r="A17" s="30" t="n">
        <v>12</v>
      </c>
      <c r="B17" s="34" t="s">
        <v>82</v>
      </c>
      <c r="C17" s="35" t="s">
        <v>80</v>
      </c>
      <c r="D17" s="36" t="n">
        <v>1640</v>
      </c>
      <c r="E17" s="36" t="n">
        <v>300</v>
      </c>
      <c r="F17" s="36" t="n">
        <v>4</v>
      </c>
      <c r="G17" s="35" t="s">
        <v>70</v>
      </c>
    </row>
    <row r="18" customFormat="false" ht="18" hidden="false" customHeight="true" outlineLevel="0" collapsed="false">
      <c r="A18" s="30" t="n">
        <v>13</v>
      </c>
      <c r="B18" s="31" t="s">
        <v>83</v>
      </c>
      <c r="C18" s="32" t="s">
        <v>80</v>
      </c>
      <c r="D18" s="33" t="n">
        <v>902</v>
      </c>
      <c r="E18" s="33" t="n">
        <v>318</v>
      </c>
      <c r="F18" s="33" t="n">
        <v>42</v>
      </c>
      <c r="G18" s="32" t="s">
        <v>70</v>
      </c>
    </row>
    <row r="19" customFormat="false" ht="14.25" hidden="false" customHeight="true" outlineLevel="0" collapsed="false">
      <c r="G19" s="37" t="s">
        <v>84</v>
      </c>
    </row>
    <row r="21" customFormat="false" ht="21.75" hidden="false" customHeight="true" outlineLevel="0" collapsed="false">
      <c r="A21" s="38" t="s">
        <v>85</v>
      </c>
      <c r="B21" s="38"/>
      <c r="C21" s="38"/>
      <c r="D21" s="38"/>
      <c r="E21" s="38"/>
      <c r="F21" s="38"/>
      <c r="G21" s="38"/>
    </row>
    <row r="22" customFormat="false" ht="27.75" hidden="false" customHeight="true" outlineLevel="0" collapsed="false">
      <c r="A22" s="39" t="s">
        <v>62</v>
      </c>
      <c r="B22" s="39" t="s">
        <v>63</v>
      </c>
      <c r="C22" s="39" t="s">
        <v>64</v>
      </c>
      <c r="D22" s="39" t="s">
        <v>65</v>
      </c>
      <c r="E22" s="39" t="s">
        <v>66</v>
      </c>
      <c r="F22" s="39" t="s">
        <v>67</v>
      </c>
      <c r="G22" s="39" t="s">
        <v>41</v>
      </c>
    </row>
    <row r="23" customFormat="false" ht="14.25" hidden="false" customHeight="true" outlineLevel="0" collapsed="false">
      <c r="A23" s="40" t="n">
        <v>1</v>
      </c>
      <c r="B23" s="34" t="s">
        <v>86</v>
      </c>
      <c r="C23" s="35" t="s">
        <v>76</v>
      </c>
      <c r="D23" s="36" t="n">
        <v>2.312</v>
      </c>
      <c r="E23" s="36" t="n">
        <v>0.339</v>
      </c>
      <c r="F23" s="36" t="n">
        <v>0.033</v>
      </c>
      <c r="G23" s="35" t="s">
        <v>87</v>
      </c>
    </row>
    <row r="24" customFormat="false" ht="14.25" hidden="false" customHeight="true" outlineLevel="0" collapsed="false">
      <c r="A24" s="40" t="n">
        <v>2</v>
      </c>
      <c r="B24" s="31" t="s">
        <v>88</v>
      </c>
      <c r="C24" s="32" t="s">
        <v>76</v>
      </c>
      <c r="D24" s="33" t="n">
        <v>2.312</v>
      </c>
      <c r="E24" s="33" t="n">
        <v>0.572</v>
      </c>
      <c r="F24" s="33" t="n">
        <v>0.057</v>
      </c>
      <c r="G24" s="32" t="s">
        <v>89</v>
      </c>
    </row>
    <row r="25" customFormat="false" ht="14.25" hidden="false" customHeight="true" outlineLevel="0" collapsed="false">
      <c r="A25" s="40" t="n">
        <v>3</v>
      </c>
      <c r="B25" s="34" t="s">
        <v>90</v>
      </c>
      <c r="C25" s="35" t="s">
        <v>76</v>
      </c>
      <c r="D25" s="36" t="n">
        <v>2.68</v>
      </c>
      <c r="E25" s="36" t="n">
        <v>0.046</v>
      </c>
      <c r="F25" s="36" t="n">
        <v>0.184</v>
      </c>
      <c r="G25" s="35" t="s">
        <v>91</v>
      </c>
    </row>
    <row r="26" customFormat="false" ht="14.25" hidden="false" customHeight="true" outlineLevel="0" collapsed="false">
      <c r="A26" s="40" t="n">
        <v>4</v>
      </c>
      <c r="B26" s="31" t="s">
        <v>92</v>
      </c>
      <c r="C26" s="32" t="s">
        <v>76</v>
      </c>
      <c r="D26" s="33" t="n">
        <v>2.68</v>
      </c>
      <c r="E26" s="33" t="n">
        <v>0.06</v>
      </c>
      <c r="F26" s="33" t="n">
        <v>0.252</v>
      </c>
      <c r="G26" s="32" t="s">
        <v>93</v>
      </c>
    </row>
    <row r="27" customFormat="false" ht="14.25" hidden="false" customHeight="true" outlineLevel="0" collapsed="false">
      <c r="A27" s="40" t="n">
        <v>5</v>
      </c>
      <c r="B27" s="34" t="s">
        <v>94</v>
      </c>
      <c r="C27" s="35" t="s">
        <v>76</v>
      </c>
      <c r="D27" s="36" t="n">
        <v>2.553</v>
      </c>
      <c r="E27" s="36" t="n">
        <v>0</v>
      </c>
      <c r="F27" s="36" t="n">
        <v>0</v>
      </c>
      <c r="G27" s="35" t="s">
        <v>95</v>
      </c>
    </row>
    <row r="28" customFormat="false" ht="14.25" hidden="false" customHeight="true" outlineLevel="0" collapsed="false">
      <c r="A28" s="40" t="n">
        <v>6</v>
      </c>
      <c r="B28" s="31" t="s">
        <v>96</v>
      </c>
      <c r="C28" s="32" t="s">
        <v>97</v>
      </c>
      <c r="D28" s="33" t="n">
        <v>50.3</v>
      </c>
      <c r="E28" s="33" t="n">
        <v>0</v>
      </c>
      <c r="F28" s="33" t="n">
        <v>0</v>
      </c>
      <c r="G28" s="32" t="s">
        <v>98</v>
      </c>
    </row>
    <row r="29" customFormat="false" ht="14.25" hidden="false" customHeight="true" outlineLevel="0" collapsed="false">
      <c r="A29" s="40" t="n">
        <v>7</v>
      </c>
      <c r="B29" s="34" t="s">
        <v>99</v>
      </c>
      <c r="C29" s="35" t="s">
        <v>76</v>
      </c>
      <c r="D29" s="36" t="n">
        <v>2.75</v>
      </c>
      <c r="E29" s="36" t="n">
        <v>0</v>
      </c>
      <c r="F29" s="36" t="n">
        <v>0</v>
      </c>
      <c r="G29" s="35" t="s">
        <v>93</v>
      </c>
    </row>
    <row r="31" customFormat="false" ht="21.75" hidden="false" customHeight="true" outlineLevel="0" collapsed="false">
      <c r="A31" s="17" t="s">
        <v>100</v>
      </c>
      <c r="B31" s="17"/>
      <c r="C31" s="17"/>
      <c r="D31" s="17"/>
      <c r="E31" s="17"/>
      <c r="F31" s="17"/>
      <c r="G31" s="17"/>
    </row>
    <row r="32" customFormat="false" ht="27.75" hidden="false" customHeight="true" outlineLevel="0" collapsed="false">
      <c r="A32" s="41" t="s">
        <v>62</v>
      </c>
      <c r="B32" s="41" t="s">
        <v>101</v>
      </c>
      <c r="C32" s="41" t="s">
        <v>102</v>
      </c>
      <c r="D32" s="41" t="s">
        <v>41</v>
      </c>
      <c r="E32" s="41" t="s">
        <v>103</v>
      </c>
      <c r="F32" s="41" t="s">
        <v>104</v>
      </c>
      <c r="G32" s="41"/>
    </row>
    <row r="33" customFormat="false" ht="18" hidden="false" customHeight="true" outlineLevel="0" collapsed="false">
      <c r="A33" s="42" t="n">
        <v>1</v>
      </c>
      <c r="B33" s="43" t="s">
        <v>105</v>
      </c>
      <c r="C33" s="44" t="s">
        <v>106</v>
      </c>
      <c r="D33" s="43" t="s">
        <v>107</v>
      </c>
      <c r="E33" s="22" t="n">
        <v>2023</v>
      </c>
      <c r="F33" s="43" t="s">
        <v>108</v>
      </c>
      <c r="G33" s="43"/>
    </row>
    <row r="34" customFormat="false" ht="18" hidden="false" customHeight="true" outlineLevel="0" collapsed="false">
      <c r="A34" s="42" t="n">
        <v>2</v>
      </c>
      <c r="B34" s="31" t="s">
        <v>109</v>
      </c>
      <c r="C34" s="45" t="n">
        <v>194</v>
      </c>
      <c r="D34" s="31" t="s">
        <v>107</v>
      </c>
      <c r="E34" s="32" t="n">
        <v>2023</v>
      </c>
      <c r="F34" s="31" t="s">
        <v>110</v>
      </c>
      <c r="G34" s="31"/>
    </row>
    <row r="35" customFormat="false" ht="18" hidden="false" customHeight="true" outlineLevel="0" collapsed="false">
      <c r="A35" s="42" t="n">
        <v>3</v>
      </c>
      <c r="B35" s="43" t="s">
        <v>111</v>
      </c>
      <c r="C35" s="44" t="n">
        <v>333</v>
      </c>
      <c r="D35" s="43" t="s">
        <v>107</v>
      </c>
      <c r="E35" s="22" t="n">
        <v>2023</v>
      </c>
      <c r="F35" s="43" t="s">
        <v>112</v>
      </c>
      <c r="G35" s="43"/>
    </row>
    <row r="36" customFormat="false" ht="18" hidden="false" customHeight="true" outlineLevel="0" collapsed="false">
      <c r="A36" s="42" t="n">
        <v>4</v>
      </c>
      <c r="B36" s="31" t="s">
        <v>113</v>
      </c>
      <c r="C36" s="45" t="n">
        <v>271</v>
      </c>
      <c r="D36" s="31" t="s">
        <v>107</v>
      </c>
      <c r="E36" s="32" t="n">
        <v>2023</v>
      </c>
      <c r="F36" s="31" t="s">
        <v>114</v>
      </c>
      <c r="G36" s="31"/>
    </row>
    <row r="37" customFormat="false" ht="18" hidden="false" customHeight="true" outlineLevel="0" collapsed="false">
      <c r="A37" s="42" t="n">
        <v>5</v>
      </c>
      <c r="B37" s="43" t="s">
        <v>115</v>
      </c>
      <c r="C37" s="44" t="n">
        <v>319</v>
      </c>
      <c r="D37" s="43" t="s">
        <v>107</v>
      </c>
      <c r="E37" s="22" t="n">
        <v>2023</v>
      </c>
      <c r="F37" s="43" t="s">
        <v>116</v>
      </c>
      <c r="G37" s="43"/>
    </row>
    <row r="38" customFormat="false" ht="18" hidden="false" customHeight="true" outlineLevel="0" collapsed="false">
      <c r="A38" s="42" t="n">
        <v>6</v>
      </c>
      <c r="B38" s="31" t="s">
        <v>117</v>
      </c>
      <c r="C38" s="45" t="s">
        <v>118</v>
      </c>
      <c r="D38" s="31" t="s">
        <v>119</v>
      </c>
      <c r="E38" s="32" t="n">
        <v>2022</v>
      </c>
      <c r="F38" s="31" t="s">
        <v>120</v>
      </c>
      <c r="G38" s="31"/>
    </row>
    <row r="39" customFormat="false" ht="18" hidden="false" customHeight="true" outlineLevel="0" collapsed="false">
      <c r="A39" s="42" t="n">
        <v>7</v>
      </c>
      <c r="B39" s="43" t="s">
        <v>121</v>
      </c>
      <c r="C39" s="44" t="s">
        <v>122</v>
      </c>
      <c r="D39" s="43" t="s">
        <v>123</v>
      </c>
      <c r="E39" s="22" t="n">
        <v>2022</v>
      </c>
      <c r="F39" s="43" t="s">
        <v>124</v>
      </c>
      <c r="G39" s="43"/>
    </row>
    <row r="40" customFormat="false" ht="18" hidden="false" customHeight="true" outlineLevel="0" collapsed="false">
      <c r="A40" s="42" t="n">
        <v>8</v>
      </c>
      <c r="B40" s="31" t="s">
        <v>125</v>
      </c>
      <c r="C40" s="45" t="s">
        <v>126</v>
      </c>
      <c r="D40" s="31" t="s">
        <v>127</v>
      </c>
      <c r="E40" s="32" t="n">
        <v>2022</v>
      </c>
      <c r="F40" s="31" t="s">
        <v>128</v>
      </c>
      <c r="G40" s="31"/>
    </row>
    <row r="41" customFormat="false" ht="18" hidden="false" customHeight="true" outlineLevel="0" collapsed="false">
      <c r="A41" s="42" t="n">
        <v>9</v>
      </c>
      <c r="B41" s="43" t="s">
        <v>129</v>
      </c>
      <c r="C41" s="44" t="s">
        <v>130</v>
      </c>
      <c r="D41" s="43" t="s">
        <v>127</v>
      </c>
      <c r="E41" s="22" t="n">
        <v>2022</v>
      </c>
      <c r="F41" s="43" t="s">
        <v>131</v>
      </c>
      <c r="G41" s="43"/>
    </row>
    <row r="42" customFormat="false" ht="18" hidden="false" customHeight="true" outlineLevel="0" collapsed="false">
      <c r="A42" s="42" t="n">
        <v>10</v>
      </c>
      <c r="B42" s="31" t="s">
        <v>132</v>
      </c>
      <c r="C42" s="45" t="n">
        <v>207</v>
      </c>
      <c r="D42" s="31" t="s">
        <v>93</v>
      </c>
      <c r="E42" s="32" t="n">
        <v>2023</v>
      </c>
      <c r="F42" s="31" t="s">
        <v>133</v>
      </c>
      <c r="G42" s="31"/>
    </row>
    <row r="43" customFormat="false" ht="18" hidden="false" customHeight="true" outlineLevel="0" collapsed="false">
      <c r="A43" s="42" t="n">
        <v>11</v>
      </c>
      <c r="B43" s="43" t="s">
        <v>134</v>
      </c>
      <c r="C43" s="44" t="s">
        <v>135</v>
      </c>
      <c r="D43" s="43" t="s">
        <v>127</v>
      </c>
      <c r="E43" s="22" t="n">
        <v>2022</v>
      </c>
      <c r="F43" s="43" t="s">
        <v>136</v>
      </c>
      <c r="G43" s="43"/>
    </row>
    <row r="44" customFormat="false" ht="18" hidden="false" customHeight="true" outlineLevel="0" collapsed="false">
      <c r="A44" s="42" t="n">
        <v>12</v>
      </c>
      <c r="B44" s="31" t="s">
        <v>137</v>
      </c>
      <c r="C44" s="45" t="s">
        <v>138</v>
      </c>
      <c r="D44" s="31" t="s">
        <v>127</v>
      </c>
      <c r="E44" s="32" t="n">
        <v>2022</v>
      </c>
      <c r="F44" s="31" t="s">
        <v>139</v>
      </c>
      <c r="G44" s="31"/>
    </row>
    <row r="45" customFormat="false" ht="18" hidden="false" customHeight="true" outlineLevel="0" collapsed="false">
      <c r="A45" s="42" t="n">
        <v>13</v>
      </c>
      <c r="B45" s="43" t="s">
        <v>140</v>
      </c>
      <c r="C45" s="44" t="s">
        <v>141</v>
      </c>
      <c r="D45" s="43" t="s">
        <v>127</v>
      </c>
      <c r="E45" s="22" t="n">
        <v>2022</v>
      </c>
      <c r="F45" s="43" t="s">
        <v>142</v>
      </c>
      <c r="G45" s="43"/>
    </row>
    <row r="46" customFormat="false" ht="18" hidden="false" customHeight="true" outlineLevel="0" collapsed="false">
      <c r="A46" s="42" t="n">
        <v>14</v>
      </c>
      <c r="B46" s="31" t="s">
        <v>143</v>
      </c>
      <c r="C46" s="45" t="s">
        <v>138</v>
      </c>
      <c r="D46" s="31" t="s">
        <v>127</v>
      </c>
      <c r="E46" s="32" t="n">
        <v>2022</v>
      </c>
      <c r="F46" s="31" t="s">
        <v>142</v>
      </c>
      <c r="G46" s="31"/>
    </row>
    <row r="47" customFormat="false" ht="18" hidden="false" customHeight="true" outlineLevel="0" collapsed="false">
      <c r="A47" s="42" t="n">
        <v>15</v>
      </c>
      <c r="B47" s="43" t="s">
        <v>144</v>
      </c>
      <c r="C47" s="44" t="s">
        <v>145</v>
      </c>
      <c r="D47" s="43" t="s">
        <v>127</v>
      </c>
      <c r="E47" s="22" t="n">
        <v>2022</v>
      </c>
      <c r="F47" s="43" t="s">
        <v>146</v>
      </c>
      <c r="G47" s="43"/>
    </row>
    <row r="48" customFormat="false" ht="18" hidden="false" customHeight="true" outlineLevel="0" collapsed="false">
      <c r="A48" s="42" t="n">
        <v>16</v>
      </c>
      <c r="B48" s="31" t="s">
        <v>147</v>
      </c>
      <c r="C48" s="45" t="s">
        <v>148</v>
      </c>
      <c r="D48" s="31" t="s">
        <v>127</v>
      </c>
      <c r="E48" s="32" t="n">
        <v>2022</v>
      </c>
      <c r="F48" s="31" t="s">
        <v>149</v>
      </c>
      <c r="G48" s="31"/>
    </row>
    <row r="49" customFormat="false" ht="18" hidden="false" customHeight="true" outlineLevel="0" collapsed="false">
      <c r="A49" s="42" t="n">
        <v>17</v>
      </c>
      <c r="B49" s="43" t="s">
        <v>150</v>
      </c>
      <c r="C49" s="44" t="s">
        <v>151</v>
      </c>
      <c r="D49" s="43" t="s">
        <v>152</v>
      </c>
      <c r="E49" s="22" t="n">
        <v>2022</v>
      </c>
      <c r="F49" s="43" t="s">
        <v>153</v>
      </c>
      <c r="G49" s="43"/>
    </row>
    <row r="50" customFormat="false" ht="18" hidden="false" customHeight="true" outlineLevel="0" collapsed="false">
      <c r="A50" s="42" t="n">
        <v>18</v>
      </c>
      <c r="B50" s="31" t="s">
        <v>154</v>
      </c>
      <c r="C50" s="45" t="s">
        <v>155</v>
      </c>
      <c r="D50" s="31" t="s">
        <v>156</v>
      </c>
      <c r="E50" s="32" t="n">
        <v>2022</v>
      </c>
      <c r="F50" s="31" t="s">
        <v>120</v>
      </c>
      <c r="G50" s="31"/>
    </row>
    <row r="51" customFormat="false" ht="18" hidden="false" customHeight="true" outlineLevel="0" collapsed="false">
      <c r="A51" s="42" t="n">
        <v>19</v>
      </c>
      <c r="B51" s="43" t="s">
        <v>157</v>
      </c>
      <c r="C51" s="44" t="s">
        <v>148</v>
      </c>
      <c r="D51" s="43" t="s">
        <v>127</v>
      </c>
      <c r="E51" s="22" t="n">
        <v>2022</v>
      </c>
      <c r="F51" s="43" t="s">
        <v>158</v>
      </c>
      <c r="G51" s="43"/>
    </row>
    <row r="52" customFormat="false" ht="18" hidden="false" customHeight="true" outlineLevel="0" collapsed="false">
      <c r="A52" s="42" t="n">
        <v>20</v>
      </c>
      <c r="B52" s="31" t="s">
        <v>159</v>
      </c>
      <c r="C52" s="45" t="s">
        <v>160</v>
      </c>
      <c r="D52" s="31" t="s">
        <v>127</v>
      </c>
      <c r="E52" s="32" t="n">
        <v>2022</v>
      </c>
      <c r="F52" s="31" t="s">
        <v>139</v>
      </c>
      <c r="G52" s="31"/>
    </row>
    <row r="53" customFormat="false" ht="14.25" hidden="false" customHeight="true" outlineLevel="0" collapsed="false">
      <c r="B53" s="46" t="s">
        <v>161</v>
      </c>
      <c r="C53" s="47" t="s">
        <v>162</v>
      </c>
    </row>
  </sheetData>
  <mergeCells count="5">
    <mergeCell ref="A1:G1"/>
    <mergeCell ref="A2:G2"/>
    <mergeCell ref="A4:G4"/>
    <mergeCell ref="A21:G21"/>
    <mergeCell ref="A31:G31"/>
  </mergeCells>
  <hyperlinks>
    <hyperlink ref="G19" r:id="rId1" display="epa.gov/system/files/documents/2023-03/ghg_emission_factors_hub.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5E20"/>
    <pageSetUpPr fitToPage="false"/>
  </sheetPr>
  <dimension ref="A1:K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27" activePane="bottomRight" state="frozen"/>
      <selection pane="topLeft" activeCell="A1" activeCellId="0" sqref="A1"/>
      <selection pane="topRight" activeCell="C1" activeCellId="0" sqref="C1"/>
      <selection pane="bottomLeft" activeCell="A27" activeCellId="0" sqref="A27"/>
      <selection pane="bottomRight" activeCell="C5" activeCellId="0" sqref="C5"/>
    </sheetView>
  </sheetViews>
  <sheetFormatPr defaultColWidth="8.66796875" defaultRowHeight="14.2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4" min="3" style="1" width="16"/>
    <col collapsed="false" customWidth="true" hidden="false" outlineLevel="0" max="6" min="5" style="1" width="22"/>
    <col collapsed="false" customWidth="true" hidden="false" outlineLevel="0" max="10" min="7" style="1" width="16"/>
    <col collapsed="false" customWidth="true" hidden="false" outlineLevel="0" max="11" min="11" style="1" width="28"/>
  </cols>
  <sheetData>
    <row r="1" customFormat="false" ht="48" hidden="false" customHeight="true" outlineLevel="0" collapsed="false">
      <c r="A1" s="48" t="s">
        <v>163</v>
      </c>
      <c r="B1" s="48"/>
      <c r="C1" s="48"/>
      <c r="D1" s="48"/>
      <c r="E1" s="48"/>
      <c r="F1" s="48"/>
      <c r="G1" s="48"/>
      <c r="H1" s="48"/>
      <c r="I1" s="48"/>
      <c r="J1" s="48"/>
      <c r="K1" s="48"/>
    </row>
    <row r="2" customFormat="false" ht="19.5" hidden="false" customHeight="true" outlineLevel="0" collapsed="false">
      <c r="A2" s="49" t="s">
        <v>164</v>
      </c>
      <c r="B2" s="49"/>
      <c r="C2" s="49"/>
      <c r="D2" s="49"/>
      <c r="E2" s="49"/>
      <c r="F2" s="49"/>
      <c r="G2" s="49"/>
      <c r="H2" s="49"/>
      <c r="I2" s="49"/>
      <c r="J2" s="49"/>
      <c r="K2" s="49"/>
    </row>
    <row r="4" customFormat="false" ht="21.75" hidden="false" customHeight="true" outlineLevel="0" collapsed="false">
      <c r="A4" s="28" t="s">
        <v>165</v>
      </c>
      <c r="B4" s="28"/>
      <c r="C4" s="28"/>
      <c r="D4" s="28"/>
      <c r="E4" s="28"/>
      <c r="F4" s="28"/>
      <c r="G4" s="28"/>
      <c r="H4" s="28"/>
      <c r="I4" s="28"/>
      <c r="J4" s="28"/>
      <c r="K4" s="28"/>
    </row>
    <row r="5" customFormat="false" ht="30" hidden="false" customHeight="true" outlineLevel="0" collapsed="false">
      <c r="A5" s="29" t="s">
        <v>62</v>
      </c>
      <c r="B5" s="29" t="s">
        <v>166</v>
      </c>
      <c r="C5" s="29" t="s">
        <v>167</v>
      </c>
      <c r="D5" s="29" t="s">
        <v>168</v>
      </c>
      <c r="E5" s="29" t="s">
        <v>65</v>
      </c>
      <c r="F5" s="29" t="s">
        <v>66</v>
      </c>
      <c r="G5" s="29" t="s">
        <v>67</v>
      </c>
      <c r="H5" s="29" t="s">
        <v>169</v>
      </c>
      <c r="I5" s="29" t="s">
        <v>170</v>
      </c>
      <c r="J5" s="29" t="s">
        <v>171</v>
      </c>
      <c r="K5" s="29" t="s">
        <v>172</v>
      </c>
    </row>
    <row r="6" customFormat="false" ht="19.5" hidden="false" customHeight="true" outlineLevel="0" collapsed="false">
      <c r="A6" s="30" t="n">
        <v>1</v>
      </c>
      <c r="B6" s="50" t="s">
        <v>68</v>
      </c>
      <c r="C6" s="51" t="n">
        <v>285000</v>
      </c>
      <c r="D6" s="12" t="s">
        <v>69</v>
      </c>
      <c r="E6" s="52" t="n">
        <f aca="false">'Emission Factors'!D6</f>
        <v>53.06</v>
      </c>
      <c r="F6" s="52" t="n">
        <f aca="false">'Emission Factors'!E6</f>
        <v>1</v>
      </c>
      <c r="G6" s="52" t="n">
        <f aca="false">'Emission Factors'!F6</f>
        <v>0.1</v>
      </c>
      <c r="H6" s="53" t="n">
        <f aca="false">C6*E6/1000</f>
        <v>15122.1</v>
      </c>
      <c r="I6" s="53" t="n">
        <f aca="false">C6*F6/1000000*Assumptions!E25*1000</f>
        <v>8493</v>
      </c>
      <c r="J6" s="53" t="n">
        <f aca="false">C6*G6/1000000*Assumptions!E27*1000</f>
        <v>7780.5</v>
      </c>
      <c r="K6" s="54" t="n">
        <f aca="false">H6+I6+J6</f>
        <v>31395.6</v>
      </c>
    </row>
    <row r="7" customFormat="false" ht="19.5" hidden="false" customHeight="true" outlineLevel="0" collapsed="false">
      <c r="A7" s="30" t="n">
        <v>2</v>
      </c>
      <c r="B7" s="55" t="s">
        <v>173</v>
      </c>
      <c r="C7" s="51" t="n">
        <v>0</v>
      </c>
      <c r="D7" s="12" t="s">
        <v>174</v>
      </c>
      <c r="E7" s="52" t="n">
        <f aca="false">'Emission Factors'!D7</f>
        <v>1.879</v>
      </c>
      <c r="F7" s="52" t="n">
        <f aca="false">'Emission Factors'!E7</f>
        <v>0.0354</v>
      </c>
      <c r="G7" s="52" t="n">
        <f aca="false">'Emission Factors'!F7</f>
        <v>0.00354</v>
      </c>
      <c r="H7" s="53" t="n">
        <f aca="false">C7*E7/1000</f>
        <v>0</v>
      </c>
      <c r="I7" s="53" t="n">
        <f aca="false">C7*F7/1000000*Assumptions!E25*1000</f>
        <v>0</v>
      </c>
      <c r="J7" s="53" t="n">
        <f aca="false">C7*G7/1000000*Assumptions!E27*1000</f>
        <v>0</v>
      </c>
      <c r="K7" s="54" t="n">
        <f aca="false">H7+I7+J7</f>
        <v>0</v>
      </c>
    </row>
    <row r="8" customFormat="false" ht="19.5" hidden="false" customHeight="true" outlineLevel="0" collapsed="false">
      <c r="A8" s="30" t="n">
        <v>3</v>
      </c>
      <c r="B8" s="50" t="s">
        <v>175</v>
      </c>
      <c r="C8" s="51" t="n">
        <v>1850000</v>
      </c>
      <c r="D8" s="12" t="s">
        <v>176</v>
      </c>
      <c r="E8" s="52" t="n">
        <f aca="false">'Emission Factors'!D10</f>
        <v>2.663</v>
      </c>
      <c r="F8" s="52" t="n">
        <f aca="false">'Emission Factors'!E10</f>
        <v>0.139</v>
      </c>
      <c r="G8" s="52" t="n">
        <f aca="false">'Emission Factors'!F10</f>
        <v>0.014</v>
      </c>
      <c r="H8" s="53" t="n">
        <f aca="false">C8*E8/1000</f>
        <v>4926.55</v>
      </c>
      <c r="I8" s="53" t="n">
        <f aca="false">C8*F8/1000000*Assumptions!E25*1000</f>
        <v>7663.07</v>
      </c>
      <c r="J8" s="53" t="n">
        <f aca="false">C8*G8/1000000*Assumptions!E27*1000</f>
        <v>7070.7</v>
      </c>
      <c r="K8" s="54" t="n">
        <f aca="false">H8+I8+J8</f>
        <v>19660.32</v>
      </c>
    </row>
    <row r="9" customFormat="false" ht="19.5" hidden="false" customHeight="true" outlineLevel="0" collapsed="false">
      <c r="A9" s="30" t="n">
        <v>4</v>
      </c>
      <c r="B9" s="55" t="s">
        <v>177</v>
      </c>
      <c r="C9" s="51" t="n">
        <v>0</v>
      </c>
      <c r="D9" s="12" t="s">
        <v>176</v>
      </c>
      <c r="E9" s="52" t="n">
        <f aca="false">'Emission Factors'!D11</f>
        <v>11.27</v>
      </c>
      <c r="F9" s="52" t="n">
        <f aca="false">'Emission Factors'!E11</f>
        <v>0.48</v>
      </c>
      <c r="G9" s="52" t="n">
        <f aca="false">'Emission Factors'!F11</f>
        <v>0.1</v>
      </c>
      <c r="H9" s="53" t="n">
        <f aca="false">C9*E9/1000</f>
        <v>0</v>
      </c>
      <c r="I9" s="53" t="n">
        <f aca="false">C9*F9/1000000*Assumptions!E25*1000</f>
        <v>0</v>
      </c>
      <c r="J9" s="53" t="n">
        <f aca="false">C9*G9/1000000*Assumptions!E27*1000</f>
        <v>0</v>
      </c>
      <c r="K9" s="54" t="n">
        <f aca="false">H9+I9+J9</f>
        <v>0</v>
      </c>
    </row>
    <row r="10" customFormat="false" ht="19.5" hidden="false" customHeight="true" outlineLevel="0" collapsed="false">
      <c r="A10" s="30" t="n">
        <v>5</v>
      </c>
      <c r="B10" s="50" t="s">
        <v>178</v>
      </c>
      <c r="C10" s="51" t="n">
        <v>0</v>
      </c>
      <c r="D10" s="12" t="s">
        <v>176</v>
      </c>
      <c r="E10" s="52" t="n">
        <f aca="false">'Emission Factors'!D14</f>
        <v>1.555</v>
      </c>
      <c r="F10" s="52" t="n">
        <f aca="false">'Emission Factors'!E14</f>
        <v>0.0617</v>
      </c>
      <c r="G10" s="52" t="n">
        <f aca="false">'Emission Factors'!F14</f>
        <v>0.0062</v>
      </c>
      <c r="H10" s="53" t="n">
        <f aca="false">C10*E10/1000</f>
        <v>0</v>
      </c>
      <c r="I10" s="53" t="n">
        <f aca="false">C10*F10/1000000*Assumptions!E25*1000</f>
        <v>0</v>
      </c>
      <c r="J10" s="53" t="n">
        <f aca="false">C10*G10/1000000*Assumptions!E27*1000</f>
        <v>0</v>
      </c>
      <c r="K10" s="54" t="n">
        <f aca="false">H10+I10+J10</f>
        <v>0</v>
      </c>
    </row>
    <row r="11" customFormat="false" ht="19.5" hidden="false" customHeight="true" outlineLevel="0" collapsed="false">
      <c r="A11" s="30" t="n">
        <v>6</v>
      </c>
      <c r="B11" s="55" t="s">
        <v>179</v>
      </c>
      <c r="C11" s="51" t="n">
        <v>0</v>
      </c>
      <c r="D11" s="12" t="s">
        <v>180</v>
      </c>
      <c r="E11" s="52" t="n">
        <f aca="false">'Emission Factors'!D15</f>
        <v>2325</v>
      </c>
      <c r="F11" s="52" t="n">
        <f aca="false">'Emission Factors'!E15</f>
        <v>274</v>
      </c>
      <c r="G11" s="52" t="n">
        <f aca="false">'Emission Factors'!F15</f>
        <v>40</v>
      </c>
      <c r="H11" s="53" t="n">
        <f aca="false">C11*E11/1000</f>
        <v>0</v>
      </c>
      <c r="I11" s="53" t="n">
        <f aca="false">C11*F11/1000000*Assumptions!E25*1000</f>
        <v>0</v>
      </c>
      <c r="J11" s="53" t="n">
        <f aca="false">C11*G11/1000000*Assumptions!E27*1000</f>
        <v>0</v>
      </c>
      <c r="K11" s="54" t="n">
        <f aca="false">H11+I11+J11</f>
        <v>0</v>
      </c>
    </row>
    <row r="12" customFormat="false" ht="19.5" hidden="false" customHeight="true" outlineLevel="0" collapsed="false">
      <c r="A12" s="30" t="n">
        <v>7</v>
      </c>
      <c r="B12" s="50" t="s">
        <v>181</v>
      </c>
      <c r="C12" s="51" t="n">
        <v>0</v>
      </c>
      <c r="D12" s="12" t="s">
        <v>180</v>
      </c>
      <c r="E12" s="52" t="n">
        <f aca="false">'Emission Factors'!D16</f>
        <v>1676</v>
      </c>
      <c r="F12" s="52" t="n">
        <f aca="false">'Emission Factors'!E16</f>
        <v>190</v>
      </c>
      <c r="G12" s="52" t="n">
        <f aca="false">'Emission Factors'!F16</f>
        <v>28</v>
      </c>
      <c r="H12" s="53" t="n">
        <f aca="false">C12*E12/1000</f>
        <v>0</v>
      </c>
      <c r="I12" s="53" t="n">
        <f aca="false">C12*F12/1000000*Assumptions!E25*1000</f>
        <v>0</v>
      </c>
      <c r="J12" s="53" t="n">
        <f aca="false">C12*G12/1000000*Assumptions!E27*1000</f>
        <v>0</v>
      </c>
      <c r="K12" s="54" t="n">
        <f aca="false">H12+I12+J12</f>
        <v>0</v>
      </c>
    </row>
    <row r="13" customFormat="false" ht="19.5" hidden="false" customHeight="true" outlineLevel="0" collapsed="false">
      <c r="A13" s="30" t="n">
        <v>8</v>
      </c>
      <c r="B13" s="55" t="s">
        <v>182</v>
      </c>
      <c r="C13" s="51" t="n">
        <v>0</v>
      </c>
      <c r="D13" s="12" t="s">
        <v>183</v>
      </c>
      <c r="E13" s="52" t="n">
        <v>0</v>
      </c>
      <c r="F13" s="52" t="n">
        <v>0</v>
      </c>
      <c r="G13" s="52" t="n">
        <v>0</v>
      </c>
      <c r="H13" s="53" t="n">
        <f aca="false">C13*E13/1000</f>
        <v>0</v>
      </c>
      <c r="I13" s="53" t="n">
        <f aca="false">C13*F13/1000000*Assumptions!E25*1000</f>
        <v>0</v>
      </c>
      <c r="J13" s="53" t="n">
        <f aca="false">C13*G13/1000000*Assumptions!E27*1000</f>
        <v>0</v>
      </c>
      <c r="K13" s="54" t="n">
        <f aca="false">H13+I13+J13</f>
        <v>0</v>
      </c>
    </row>
    <row r="14" customFormat="false" ht="21.75" hidden="false" customHeight="true" outlineLevel="0" collapsed="false">
      <c r="A14" s="56"/>
      <c r="B14" s="10" t="s">
        <v>184</v>
      </c>
      <c r="C14" s="56"/>
      <c r="D14" s="56"/>
      <c r="E14" s="56"/>
      <c r="F14" s="56"/>
      <c r="G14" s="56"/>
      <c r="H14" s="57" t="n">
        <f aca="false">SUM(H6:H13)</f>
        <v>20048.65</v>
      </c>
      <c r="I14" s="57" t="n">
        <f aca="false">SUM(I6:I13)</f>
        <v>16156.07</v>
      </c>
      <c r="J14" s="57" t="n">
        <f aca="false">SUM(J6:J13)</f>
        <v>14851.2</v>
      </c>
      <c r="K14" s="57" t="n">
        <f aca="false">SUM(K6:K13)</f>
        <v>51055.92</v>
      </c>
    </row>
    <row r="16" customFormat="false" ht="21.75" hidden="false" customHeight="true" outlineLevel="0" collapsed="false">
      <c r="A16" s="38" t="s">
        <v>185</v>
      </c>
      <c r="B16" s="38"/>
      <c r="C16" s="38"/>
      <c r="D16" s="38"/>
      <c r="E16" s="38"/>
      <c r="F16" s="38"/>
      <c r="G16" s="38"/>
      <c r="H16" s="38"/>
      <c r="I16" s="38"/>
      <c r="J16" s="38"/>
      <c r="K16" s="38"/>
    </row>
    <row r="17" customFormat="false" ht="30" hidden="false" customHeight="true" outlineLevel="0" collapsed="false">
      <c r="A17" s="39" t="s">
        <v>62</v>
      </c>
      <c r="B17" s="39" t="s">
        <v>186</v>
      </c>
      <c r="C17" s="39" t="s">
        <v>167</v>
      </c>
      <c r="D17" s="39" t="s">
        <v>168</v>
      </c>
      <c r="E17" s="39" t="s">
        <v>65</v>
      </c>
      <c r="F17" s="39" t="s">
        <v>187</v>
      </c>
      <c r="G17" s="39" t="s">
        <v>67</v>
      </c>
      <c r="H17" s="39" t="s">
        <v>169</v>
      </c>
      <c r="I17" s="39" t="s">
        <v>170</v>
      </c>
      <c r="J17" s="39" t="s">
        <v>171</v>
      </c>
      <c r="K17" s="39" t="s">
        <v>172</v>
      </c>
    </row>
    <row r="18" customFormat="false" ht="19.5" hidden="false" customHeight="true" outlineLevel="0" collapsed="false">
      <c r="A18" s="40" t="n">
        <v>1</v>
      </c>
      <c r="B18" s="58" t="s">
        <v>188</v>
      </c>
      <c r="C18" s="51" t="n">
        <v>1200000</v>
      </c>
      <c r="D18" s="12" t="s">
        <v>176</v>
      </c>
      <c r="E18" s="52" t="n">
        <v>2.35</v>
      </c>
      <c r="F18" s="52" t="n">
        <v>0.1</v>
      </c>
      <c r="G18" s="52" t="n">
        <v>0.02</v>
      </c>
      <c r="H18" s="53" t="n">
        <f aca="false">C18*E18/1000</f>
        <v>2820</v>
      </c>
      <c r="I18" s="53" t="n">
        <f aca="false">C18*F18/1000000*Assumptions!E25*1000</f>
        <v>3576</v>
      </c>
      <c r="J18" s="53" t="n">
        <f aca="false">C18*G18/1000000*Assumptions!E27*1000</f>
        <v>6552</v>
      </c>
      <c r="K18" s="54" t="n">
        <f aca="false">H18+I18+J18</f>
        <v>12948</v>
      </c>
    </row>
    <row r="19" customFormat="false" ht="19.5" hidden="false" customHeight="true" outlineLevel="0" collapsed="false">
      <c r="A19" s="40" t="n">
        <v>2</v>
      </c>
      <c r="B19" s="59" t="s">
        <v>189</v>
      </c>
      <c r="C19" s="51" t="n">
        <v>0</v>
      </c>
      <c r="D19" s="12" t="s">
        <v>176</v>
      </c>
      <c r="E19" s="52" t="n">
        <v>2.35</v>
      </c>
      <c r="F19" s="52" t="n">
        <v>0.1</v>
      </c>
      <c r="G19" s="52" t="n">
        <v>0.02</v>
      </c>
      <c r="H19" s="53" t="n">
        <f aca="false">C19*E19/1000</f>
        <v>0</v>
      </c>
      <c r="I19" s="53" t="n">
        <f aca="false">C19*F19/1000000*Assumptions!E25*1000</f>
        <v>0</v>
      </c>
      <c r="J19" s="53" t="n">
        <f aca="false">C19*G19/1000000*Assumptions!E27*1000</f>
        <v>0</v>
      </c>
      <c r="K19" s="54" t="n">
        <f aca="false">H19+I19+J19</f>
        <v>0</v>
      </c>
    </row>
    <row r="20" customFormat="false" ht="19.5" hidden="false" customHeight="true" outlineLevel="0" collapsed="false">
      <c r="A20" s="40" t="n">
        <v>3</v>
      </c>
      <c r="B20" s="58" t="s">
        <v>190</v>
      </c>
      <c r="C20" s="51" t="n">
        <v>0</v>
      </c>
      <c r="D20" s="12" t="s">
        <v>176</v>
      </c>
      <c r="E20" s="52" t="n">
        <v>2.69</v>
      </c>
      <c r="F20" s="52" t="n">
        <v>0.11</v>
      </c>
      <c r="G20" s="52" t="n">
        <v>0.02</v>
      </c>
      <c r="H20" s="53" t="n">
        <f aca="false">C20*E20/1000</f>
        <v>0</v>
      </c>
      <c r="I20" s="53" t="n">
        <f aca="false">C20*F20/1000000*Assumptions!E25*1000</f>
        <v>0</v>
      </c>
      <c r="J20" s="53" t="n">
        <f aca="false">C20*G20/1000000*Assumptions!E27*1000</f>
        <v>0</v>
      </c>
      <c r="K20" s="54" t="n">
        <f aca="false">H20+I20+J20</f>
        <v>0</v>
      </c>
    </row>
    <row r="21" customFormat="false" ht="19.5" hidden="false" customHeight="true" outlineLevel="0" collapsed="false">
      <c r="A21" s="40" t="n">
        <v>4</v>
      </c>
      <c r="B21" s="59" t="s">
        <v>191</v>
      </c>
      <c r="C21" s="51" t="n">
        <v>285000000</v>
      </c>
      <c r="D21" s="12" t="s">
        <v>176</v>
      </c>
      <c r="E21" s="52" t="n">
        <v>2.69</v>
      </c>
      <c r="F21" s="52" t="n">
        <v>0.11</v>
      </c>
      <c r="G21" s="52" t="n">
        <v>0.02</v>
      </c>
      <c r="H21" s="53" t="n">
        <f aca="false">C21*E21/1000</f>
        <v>766650</v>
      </c>
      <c r="I21" s="53" t="n">
        <f aca="false">C21*F21/1000000*Assumptions!E25*1000</f>
        <v>934230</v>
      </c>
      <c r="J21" s="53" t="n">
        <f aca="false">C21*G21/1000000*Assumptions!E27*1000</f>
        <v>1556100</v>
      </c>
      <c r="K21" s="54" t="n">
        <f aca="false">H21+I21+J21</f>
        <v>3256980</v>
      </c>
    </row>
    <row r="22" customFormat="false" ht="19.5" hidden="false" customHeight="true" outlineLevel="0" collapsed="false">
      <c r="A22" s="40" t="n">
        <v>5</v>
      </c>
      <c r="B22" s="58" t="s">
        <v>96</v>
      </c>
      <c r="C22" s="51" t="n">
        <v>0</v>
      </c>
      <c r="D22" s="12" t="s">
        <v>97</v>
      </c>
      <c r="E22" s="52" t="n">
        <v>56.1</v>
      </c>
      <c r="F22" s="52" t="n">
        <v>0.95</v>
      </c>
      <c r="G22" s="52" t="n">
        <v>0.1</v>
      </c>
      <c r="H22" s="53" t="n">
        <f aca="false">C22*E22/1000</f>
        <v>0</v>
      </c>
      <c r="I22" s="53" t="n">
        <f aca="false">C22*F22/1000000*Assumptions!E25*1000</f>
        <v>0</v>
      </c>
      <c r="J22" s="53" t="n">
        <f aca="false">C22*G22/1000000*Assumptions!E27*1000</f>
        <v>0</v>
      </c>
      <c r="K22" s="54" t="n">
        <f aca="false">H22+I22+J22</f>
        <v>0</v>
      </c>
    </row>
    <row r="23" customFormat="false" ht="19.5" hidden="false" customHeight="true" outlineLevel="0" collapsed="false">
      <c r="A23" s="40" t="n">
        <v>6</v>
      </c>
      <c r="B23" s="59" t="s">
        <v>192</v>
      </c>
      <c r="C23" s="51" t="n">
        <v>1600000</v>
      </c>
      <c r="D23" s="12" t="s">
        <v>176</v>
      </c>
      <c r="E23" s="52" t="n">
        <v>2.54</v>
      </c>
      <c r="F23" s="52" t="n">
        <v>0.11</v>
      </c>
      <c r="G23" s="52" t="n">
        <v>0.02</v>
      </c>
      <c r="H23" s="53" t="n">
        <f aca="false">C23*E23/1000</f>
        <v>4064</v>
      </c>
      <c r="I23" s="53" t="n">
        <f aca="false">C23*F23/1000000*Assumptions!E25*1000</f>
        <v>5244.8</v>
      </c>
      <c r="J23" s="53" t="n">
        <f aca="false">C23*G23/1000000*Assumptions!E27*1000</f>
        <v>8736</v>
      </c>
      <c r="K23" s="54" t="n">
        <f aca="false">H23+I23+J23</f>
        <v>18044.8</v>
      </c>
    </row>
    <row r="24" customFormat="false" ht="19.5" hidden="false" customHeight="true" outlineLevel="0" collapsed="false">
      <c r="A24" s="40" t="n">
        <v>7</v>
      </c>
      <c r="B24" s="58" t="s">
        <v>193</v>
      </c>
      <c r="C24" s="51" t="n">
        <v>0</v>
      </c>
      <c r="D24" s="12" t="s">
        <v>183</v>
      </c>
      <c r="E24" s="52" t="n">
        <v>0</v>
      </c>
      <c r="F24" s="52" t="n">
        <v>0</v>
      </c>
      <c r="G24" s="52" t="n">
        <v>0</v>
      </c>
      <c r="H24" s="53" t="n">
        <f aca="false">C24*E24/1000</f>
        <v>0</v>
      </c>
      <c r="I24" s="53" t="n">
        <f aca="false">C24*F24/1000000*Assumptions!E25*1000</f>
        <v>0</v>
      </c>
      <c r="J24" s="53" t="n">
        <f aca="false">C24*G24/1000000*Assumptions!E27*1000</f>
        <v>0</v>
      </c>
      <c r="K24" s="54" t="n">
        <f aca="false">H24+I24+J24</f>
        <v>0</v>
      </c>
    </row>
    <row r="25" customFormat="false" ht="21.75" hidden="false" customHeight="true" outlineLevel="0" collapsed="false">
      <c r="A25" s="60"/>
      <c r="B25" s="14" t="s">
        <v>194</v>
      </c>
      <c r="C25" s="60"/>
      <c r="D25" s="60"/>
      <c r="E25" s="60"/>
      <c r="F25" s="60"/>
      <c r="G25" s="60"/>
      <c r="H25" s="61" t="n">
        <f aca="false">SUM(H18:H24)</f>
        <v>773534</v>
      </c>
      <c r="I25" s="61" t="n">
        <f aca="false">SUM(I18:I24)</f>
        <v>943050.8</v>
      </c>
      <c r="J25" s="61" t="n">
        <f aca="false">SUM(J18:J24)</f>
        <v>1571388</v>
      </c>
      <c r="K25" s="61" t="n">
        <f aca="false">SUM(K18:K24)</f>
        <v>3287972.8</v>
      </c>
    </row>
    <row r="27" customFormat="false" ht="21.75" hidden="false" customHeight="true" outlineLevel="0" collapsed="false">
      <c r="A27" s="62" t="s">
        <v>195</v>
      </c>
      <c r="B27" s="62"/>
      <c r="C27" s="62"/>
      <c r="D27" s="62"/>
      <c r="E27" s="62"/>
      <c r="F27" s="62"/>
      <c r="G27" s="62"/>
      <c r="H27" s="62"/>
      <c r="I27" s="62"/>
      <c r="J27" s="62"/>
      <c r="K27" s="62"/>
    </row>
    <row r="28" customFormat="false" ht="30" hidden="false" customHeight="true" outlineLevel="0" collapsed="false">
      <c r="A28" s="63" t="s">
        <v>62</v>
      </c>
      <c r="B28" s="63" t="s">
        <v>196</v>
      </c>
      <c r="C28" s="63" t="s">
        <v>197</v>
      </c>
      <c r="D28" s="63" t="s">
        <v>64</v>
      </c>
      <c r="E28" s="63" t="s">
        <v>198</v>
      </c>
      <c r="F28" s="63"/>
      <c r="G28" s="63"/>
      <c r="H28" s="63"/>
      <c r="I28" s="63"/>
      <c r="J28" s="63"/>
      <c r="K28" s="63" t="s">
        <v>172</v>
      </c>
    </row>
    <row r="29" customFormat="false" ht="19.5" hidden="false" customHeight="true" outlineLevel="0" collapsed="false">
      <c r="A29" s="64" t="n">
        <v>1</v>
      </c>
      <c r="B29" s="65" t="s">
        <v>199</v>
      </c>
      <c r="C29" s="51" t="n">
        <v>2800</v>
      </c>
      <c r="D29" s="12" t="s">
        <v>200</v>
      </c>
      <c r="E29" s="12" t="n">
        <v>1430</v>
      </c>
      <c r="F29" s="66"/>
      <c r="G29" s="66"/>
      <c r="H29" s="66"/>
      <c r="I29" s="66"/>
      <c r="K29" s="54" t="n">
        <f aca="false">C29*E29/1000</f>
        <v>4004</v>
      </c>
    </row>
    <row r="30" customFormat="false" ht="19.5" hidden="false" customHeight="true" outlineLevel="0" collapsed="false">
      <c r="A30" s="64" t="n">
        <v>2</v>
      </c>
      <c r="B30" s="67" t="s">
        <v>201</v>
      </c>
      <c r="C30" s="51" t="n">
        <v>1200</v>
      </c>
      <c r="D30" s="12" t="s">
        <v>200</v>
      </c>
      <c r="E30" s="12" t="n">
        <v>2088</v>
      </c>
      <c r="F30" s="66"/>
      <c r="G30" s="66"/>
      <c r="H30" s="66"/>
      <c r="I30" s="66"/>
      <c r="K30" s="54" t="n">
        <f aca="false">C30*E30/1000</f>
        <v>2505.6</v>
      </c>
    </row>
    <row r="31" customFormat="false" ht="19.5" hidden="false" customHeight="true" outlineLevel="0" collapsed="false">
      <c r="A31" s="64" t="n">
        <v>3</v>
      </c>
      <c r="B31" s="65" t="s">
        <v>202</v>
      </c>
      <c r="C31" s="51" t="n">
        <v>0</v>
      </c>
      <c r="D31" s="12" t="s">
        <v>200</v>
      </c>
      <c r="E31" s="12" t="n">
        <v>22800</v>
      </c>
      <c r="F31" s="66"/>
      <c r="G31" s="66"/>
      <c r="H31" s="66"/>
      <c r="I31" s="66"/>
      <c r="K31" s="54" t="n">
        <f aca="false">C31*E31/1000</f>
        <v>0</v>
      </c>
    </row>
    <row r="32" customFormat="false" ht="19.5" hidden="false" customHeight="true" outlineLevel="0" collapsed="false">
      <c r="A32" s="64" t="n">
        <v>4</v>
      </c>
      <c r="B32" s="67" t="s">
        <v>203</v>
      </c>
      <c r="C32" s="51" t="n">
        <v>0</v>
      </c>
      <c r="D32" s="12" t="s">
        <v>200</v>
      </c>
      <c r="E32" s="12" t="n">
        <v>25</v>
      </c>
      <c r="F32" s="66"/>
      <c r="G32" s="66"/>
      <c r="H32" s="66"/>
      <c r="I32" s="66"/>
      <c r="K32" s="54" t="n">
        <f aca="false">C32*E32/1000</f>
        <v>0</v>
      </c>
    </row>
    <row r="33" customFormat="false" ht="19.5" hidden="false" customHeight="true" outlineLevel="0" collapsed="false">
      <c r="A33" s="64" t="n">
        <v>5</v>
      </c>
      <c r="B33" s="65" t="s">
        <v>204</v>
      </c>
      <c r="C33" s="51" t="n">
        <v>150</v>
      </c>
      <c r="D33" s="12" t="s">
        <v>200</v>
      </c>
      <c r="E33" s="12" t="n">
        <v>1</v>
      </c>
      <c r="F33" s="66"/>
      <c r="G33" s="66"/>
      <c r="H33" s="66"/>
      <c r="I33" s="66"/>
      <c r="K33" s="54" t="n">
        <f aca="false">C33*E33/1000</f>
        <v>0.15</v>
      </c>
    </row>
    <row r="34" customFormat="false" ht="19.5" hidden="false" customHeight="true" outlineLevel="0" collapsed="false">
      <c r="A34" s="64" t="n">
        <v>6</v>
      </c>
      <c r="B34" s="67" t="s">
        <v>205</v>
      </c>
      <c r="C34" s="51" t="n">
        <v>0</v>
      </c>
      <c r="D34" s="12" t="s">
        <v>200</v>
      </c>
      <c r="E34" s="12" t="n">
        <v>0</v>
      </c>
      <c r="F34" s="66"/>
      <c r="G34" s="66"/>
      <c r="H34" s="66"/>
      <c r="I34" s="66"/>
      <c r="K34" s="54" t="n">
        <f aca="false">C34*E34/1000</f>
        <v>0</v>
      </c>
    </row>
    <row r="35" customFormat="false" ht="21.75" hidden="false" customHeight="true" outlineLevel="0" collapsed="false">
      <c r="A35" s="68"/>
      <c r="B35" s="69" t="s">
        <v>206</v>
      </c>
      <c r="C35" s="68"/>
      <c r="D35" s="68"/>
      <c r="E35" s="68"/>
      <c r="F35" s="68"/>
      <c r="G35" s="68"/>
      <c r="H35" s="68"/>
      <c r="I35" s="68"/>
      <c r="J35" s="68"/>
      <c r="K35" s="70" t="n">
        <f aca="false">SUM(K29:K34)</f>
        <v>6509.75</v>
      </c>
    </row>
    <row r="37" customFormat="false" ht="27.75" hidden="false" customHeight="true" outlineLevel="0" collapsed="false">
      <c r="A37" s="71" t="s">
        <v>207</v>
      </c>
      <c r="B37" s="71"/>
      <c r="C37" s="71"/>
      <c r="D37" s="71"/>
      <c r="E37" s="71"/>
      <c r="F37" s="71"/>
      <c r="G37" s="71"/>
      <c r="H37" s="71"/>
      <c r="I37" s="71"/>
      <c r="J37" s="71"/>
      <c r="K37" s="72" t="n">
        <f aca="false">K14+K25+K35</f>
        <v>3345538.47</v>
      </c>
    </row>
    <row r="38" customFormat="false" ht="14.25" hidden="false" customHeight="true" outlineLevel="0" collapsed="false">
      <c r="B38" s="37" t="s">
        <v>208</v>
      </c>
      <c r="J38" s="73"/>
      <c r="K38" s="73" t="s">
        <v>209</v>
      </c>
    </row>
    <row r="39" customFormat="false" ht="27.75" hidden="false" customHeight="true" outlineLevel="0" collapsed="false">
      <c r="B39" s="74" t="s">
        <v>210</v>
      </c>
    </row>
    <row r="40" customFormat="false" ht="14.25" hidden="false" customHeight="true" outlineLevel="0" collapsed="false">
      <c r="B40" s="1" t="s">
        <v>211</v>
      </c>
    </row>
    <row r="41" customFormat="false" ht="27.75" hidden="false" customHeight="true" outlineLevel="0" collapsed="false">
      <c r="B41" s="74" t="s">
        <v>212</v>
      </c>
    </row>
    <row r="42" customFormat="false" ht="14.25" hidden="false" customHeight="true" outlineLevel="0" collapsed="false">
      <c r="B42" s="1" t="s">
        <v>213</v>
      </c>
    </row>
    <row r="43" customFormat="false" ht="27.75" hidden="false" customHeight="true" outlineLevel="0" collapsed="false">
      <c r="B43" s="74" t="s">
        <v>214</v>
      </c>
    </row>
    <row r="44" customFormat="false" ht="14.25" hidden="false" customHeight="true" outlineLevel="0" collapsed="false">
      <c r="B44" s="1" t="s">
        <v>215</v>
      </c>
    </row>
    <row r="45" customFormat="false" ht="14.25" hidden="false" customHeight="true" outlineLevel="0" collapsed="false">
      <c r="B45" s="1" t="s">
        <v>216</v>
      </c>
    </row>
    <row r="46" customFormat="false" ht="14.25" hidden="false" customHeight="true" outlineLevel="0" collapsed="false">
      <c r="B46" s="1" t="s">
        <v>217</v>
      </c>
    </row>
  </sheetData>
  <mergeCells count="6">
    <mergeCell ref="A1:K1"/>
    <mergeCell ref="A2:K2"/>
    <mergeCell ref="A4:K4"/>
    <mergeCell ref="A16:K16"/>
    <mergeCell ref="A27:K27"/>
    <mergeCell ref="A37:J37"/>
  </mergeCells>
  <hyperlinks>
    <hyperlink ref="B38" r:id="rId1" display="epa.gov/system/files/documents/2024-02/ghg-emission-factors-hub-2024.pdf"/>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A1:J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29" activePane="bottomRight" state="frozen"/>
      <selection pane="topLeft" activeCell="A1" activeCellId="0" sqref="A1"/>
      <selection pane="topRight" activeCell="C1" activeCellId="0" sqref="C1"/>
      <selection pane="bottomLeft" activeCell="A29" activeCellId="0" sqref="A29"/>
      <selection pane="bottomRight" activeCell="F23" activeCellId="0" sqref="F23"/>
    </sheetView>
  </sheetViews>
  <sheetFormatPr defaultColWidth="8.66796875" defaultRowHeight="14.25" zeroHeight="false" outlineLevelRow="0" outlineLevelCol="0"/>
  <cols>
    <col collapsed="false" customWidth="true" hidden="false" outlineLevel="0" max="1" min="1" style="1" width="15.33"/>
    <col collapsed="false" customWidth="true" hidden="false" outlineLevel="0" max="2" min="2" style="1" width="30"/>
    <col collapsed="false" customWidth="true" hidden="false" outlineLevel="0" max="4" min="3" style="1" width="16"/>
    <col collapsed="false" customWidth="true" hidden="false" outlineLevel="0" max="6" min="5" style="1" width="22"/>
    <col collapsed="false" customWidth="true" hidden="false" outlineLevel="0" max="7" min="7" style="1" width="18"/>
    <col collapsed="false" customWidth="true" hidden="false" outlineLevel="0" max="8" min="8" style="1" width="24.67"/>
    <col collapsed="false" customWidth="true" hidden="false" outlineLevel="0" max="9" min="9" style="1" width="22.67"/>
    <col collapsed="false" customWidth="true" hidden="false" outlineLevel="0" max="10" min="10" style="1" width="30"/>
  </cols>
  <sheetData>
    <row r="1" customFormat="false" ht="48" hidden="false" customHeight="true" outlineLevel="0" collapsed="false">
      <c r="A1" s="75" t="s">
        <v>218</v>
      </c>
      <c r="B1" s="75"/>
      <c r="C1" s="75"/>
      <c r="D1" s="75"/>
      <c r="E1" s="75"/>
      <c r="F1" s="75"/>
      <c r="G1" s="75"/>
      <c r="H1" s="75"/>
      <c r="I1" s="75"/>
      <c r="J1" s="75"/>
    </row>
    <row r="2" customFormat="false" ht="19.5" hidden="false" customHeight="true" outlineLevel="0" collapsed="false">
      <c r="A2" s="76" t="s">
        <v>219</v>
      </c>
      <c r="B2" s="76"/>
      <c r="C2" s="76"/>
      <c r="D2" s="76"/>
      <c r="E2" s="76"/>
      <c r="F2" s="76"/>
      <c r="G2" s="76"/>
      <c r="H2" s="76"/>
      <c r="I2" s="76"/>
      <c r="J2" s="76"/>
    </row>
    <row r="4" customFormat="false" ht="21.75" hidden="false" customHeight="true" outlineLevel="0" collapsed="false">
      <c r="A4" s="17" t="s">
        <v>220</v>
      </c>
      <c r="B4" s="17"/>
      <c r="C4" s="17"/>
      <c r="D4" s="17"/>
      <c r="E4" s="17"/>
      <c r="F4" s="17"/>
      <c r="G4" s="17"/>
      <c r="H4" s="17"/>
      <c r="I4" s="17"/>
      <c r="J4" s="17"/>
    </row>
    <row r="5" customFormat="false" ht="19.5" hidden="false" customHeight="true" outlineLevel="0" collapsed="false">
      <c r="A5" s="77" t="s">
        <v>221</v>
      </c>
      <c r="B5" s="77"/>
      <c r="C5" s="77"/>
      <c r="D5" s="77"/>
      <c r="E5" s="77"/>
      <c r="F5" s="77"/>
      <c r="G5" s="77"/>
      <c r="H5" s="77"/>
      <c r="I5" s="77"/>
      <c r="J5" s="77"/>
    </row>
    <row r="6" customFormat="false" ht="18" hidden="false" customHeight="true" outlineLevel="0" collapsed="false">
      <c r="A6" s="78" t="s">
        <v>222</v>
      </c>
      <c r="B6" s="78" t="s">
        <v>223</v>
      </c>
    </row>
    <row r="7" customFormat="false" ht="15.75" hidden="false" customHeight="true" outlineLevel="0" collapsed="false">
      <c r="A7" s="79" t="s">
        <v>224</v>
      </c>
      <c r="B7" s="79" t="n">
        <v>386</v>
      </c>
      <c r="C7" s="79" t="s">
        <v>140</v>
      </c>
      <c r="D7" s="79" t="n">
        <v>581</v>
      </c>
    </row>
    <row r="8" customFormat="false" ht="15.75" hidden="false" customHeight="true" outlineLevel="0" collapsed="false">
      <c r="A8" s="80" t="s">
        <v>225</v>
      </c>
      <c r="B8" s="80" t="n">
        <v>230</v>
      </c>
      <c r="C8" s="80" t="s">
        <v>143</v>
      </c>
      <c r="D8" s="80" t="n">
        <v>713</v>
      </c>
    </row>
    <row r="9" customFormat="false" ht="15.75" hidden="false" customHeight="true" outlineLevel="0" collapsed="false">
      <c r="A9" s="79" t="s">
        <v>226</v>
      </c>
      <c r="B9" s="79" t="n">
        <v>430</v>
      </c>
      <c r="C9" s="79" t="s">
        <v>144</v>
      </c>
      <c r="D9" s="79" t="n">
        <v>471</v>
      </c>
    </row>
    <row r="10" customFormat="false" ht="15.75" hidden="false" customHeight="true" outlineLevel="0" collapsed="false">
      <c r="A10" s="80" t="s">
        <v>227</v>
      </c>
      <c r="B10" s="80" t="n">
        <v>231</v>
      </c>
      <c r="C10" s="80" t="s">
        <v>150</v>
      </c>
      <c r="D10" s="80" t="n">
        <v>680</v>
      </c>
    </row>
    <row r="11" customFormat="false" ht="15.75" hidden="false" customHeight="true" outlineLevel="0" collapsed="false">
      <c r="A11" s="79" t="s">
        <v>132</v>
      </c>
      <c r="B11" s="79" t="n">
        <v>207</v>
      </c>
      <c r="C11" s="79" t="s">
        <v>154</v>
      </c>
      <c r="D11" s="79" t="n">
        <v>119</v>
      </c>
    </row>
    <row r="12" customFormat="false" ht="15.75" hidden="false" customHeight="true" outlineLevel="0" collapsed="false">
      <c r="A12" s="80" t="s">
        <v>125</v>
      </c>
      <c r="B12" s="80" t="n">
        <v>380</v>
      </c>
      <c r="C12" s="80" t="s">
        <v>228</v>
      </c>
      <c r="D12" s="80" t="n">
        <v>130</v>
      </c>
    </row>
    <row r="14" customFormat="false" ht="21.75" hidden="false" customHeight="true" outlineLevel="0" collapsed="false">
      <c r="A14" s="81" t="s">
        <v>229</v>
      </c>
      <c r="B14" s="81"/>
      <c r="C14" s="81"/>
      <c r="D14" s="81"/>
      <c r="E14" s="81"/>
      <c r="F14" s="81"/>
      <c r="G14" s="81"/>
      <c r="H14" s="81"/>
      <c r="I14" s="81"/>
      <c r="J14" s="81"/>
    </row>
    <row r="15" customFormat="false" ht="30" hidden="false" customHeight="true" outlineLevel="0" collapsed="false">
      <c r="A15" s="82" t="s">
        <v>62</v>
      </c>
      <c r="B15" s="82" t="s">
        <v>230</v>
      </c>
      <c r="C15" s="82" t="s">
        <v>231</v>
      </c>
      <c r="D15" s="82" t="s">
        <v>232</v>
      </c>
      <c r="E15" s="82" t="s">
        <v>233</v>
      </c>
      <c r="F15" s="82" t="s">
        <v>234</v>
      </c>
      <c r="G15" s="82" t="s">
        <v>235</v>
      </c>
      <c r="H15" s="82" t="s">
        <v>236</v>
      </c>
      <c r="I15" s="82" t="s">
        <v>237</v>
      </c>
      <c r="J15" s="82" t="s">
        <v>104</v>
      </c>
    </row>
    <row r="16" customFormat="false" ht="19.5" hidden="false" customHeight="true" outlineLevel="0" collapsed="false">
      <c r="A16" s="42" t="n">
        <v>1</v>
      </c>
      <c r="B16" s="83" t="s">
        <v>238</v>
      </c>
      <c r="C16" s="51" t="n">
        <v>12500</v>
      </c>
      <c r="D16" s="84" t="n">
        <v>386</v>
      </c>
      <c r="E16" s="84" t="n">
        <v>8</v>
      </c>
      <c r="F16" s="51" t="n">
        <v>10000</v>
      </c>
      <c r="G16" s="85" t="n">
        <f aca="false">MAX(C16-F16,0)</f>
        <v>2500</v>
      </c>
      <c r="H16" s="53" t="n">
        <f aca="false">C16*D16/1000</f>
        <v>4825</v>
      </c>
      <c r="I16" s="86" t="n">
        <f aca="false">G16*E16/1000</f>
        <v>20</v>
      </c>
      <c r="J16" s="6" t="s">
        <v>239</v>
      </c>
    </row>
    <row r="17" customFormat="false" ht="19.5" hidden="false" customHeight="true" outlineLevel="0" collapsed="false">
      <c r="A17" s="42" t="n">
        <v>2</v>
      </c>
      <c r="B17" s="87" t="s">
        <v>240</v>
      </c>
      <c r="C17" s="51" t="n">
        <v>68000</v>
      </c>
      <c r="D17" s="84" t="n">
        <v>271</v>
      </c>
      <c r="E17" s="84" t="n">
        <v>8</v>
      </c>
      <c r="F17" s="51" t="n">
        <v>58000</v>
      </c>
      <c r="G17" s="85" t="n">
        <f aca="false">MAX(C17-F17,0)</f>
        <v>10000</v>
      </c>
      <c r="H17" s="53" t="n">
        <f aca="false">C17*D17/1000</f>
        <v>18428</v>
      </c>
      <c r="I17" s="86" t="n">
        <f aca="false">G17*E17/1000</f>
        <v>80</v>
      </c>
      <c r="J17" s="6" t="s">
        <v>239</v>
      </c>
    </row>
    <row r="18" customFormat="false" ht="19.5" hidden="false" customHeight="true" outlineLevel="0" collapsed="false">
      <c r="A18" s="42" t="n">
        <v>3</v>
      </c>
      <c r="B18" s="83" t="s">
        <v>241</v>
      </c>
      <c r="C18" s="51" t="n">
        <v>72000</v>
      </c>
      <c r="D18" s="84" t="n">
        <v>386</v>
      </c>
      <c r="E18" s="84" t="n">
        <v>8</v>
      </c>
      <c r="F18" s="51" t="n">
        <v>62000</v>
      </c>
      <c r="G18" s="85" t="n">
        <f aca="false">MAX(C18-F18,0)</f>
        <v>10000</v>
      </c>
      <c r="H18" s="53" t="n">
        <f aca="false">C18*D18/1000</f>
        <v>27792</v>
      </c>
      <c r="I18" s="86" t="n">
        <f aca="false">G18*E18/1000</f>
        <v>80</v>
      </c>
      <c r="J18" s="6" t="s">
        <v>239</v>
      </c>
    </row>
    <row r="19" customFormat="false" ht="19.5" hidden="false" customHeight="true" outlineLevel="0" collapsed="false">
      <c r="A19" s="42" t="n">
        <v>4</v>
      </c>
      <c r="B19" s="87" t="s">
        <v>242</v>
      </c>
      <c r="C19" s="51" t="n">
        <v>25000</v>
      </c>
      <c r="D19" s="84" t="n">
        <v>386</v>
      </c>
      <c r="E19" s="84" t="n">
        <v>8</v>
      </c>
      <c r="F19" s="51" t="n">
        <v>18000</v>
      </c>
      <c r="G19" s="85" t="n">
        <f aca="false">MAX(C19-F19,0)</f>
        <v>7000</v>
      </c>
      <c r="H19" s="53" t="n">
        <f aca="false">C19*D19/1000</f>
        <v>9650</v>
      </c>
      <c r="I19" s="86" t="n">
        <f aca="false">G19*E19/1000</f>
        <v>56</v>
      </c>
      <c r="J19" s="6" t="s">
        <v>239</v>
      </c>
    </row>
    <row r="20" customFormat="false" ht="19.5" hidden="false" customHeight="true" outlineLevel="0" collapsed="false">
      <c r="A20" s="42" t="n">
        <v>5</v>
      </c>
      <c r="B20" s="83" t="s">
        <v>243</v>
      </c>
      <c r="C20" s="51" t="n">
        <v>7500</v>
      </c>
      <c r="D20" s="84" t="n">
        <v>386</v>
      </c>
      <c r="E20" s="84" t="n">
        <v>8</v>
      </c>
      <c r="F20" s="51" t="n">
        <v>4000</v>
      </c>
      <c r="G20" s="85" t="n">
        <f aca="false">MAX(C20-F20,0)</f>
        <v>3500</v>
      </c>
      <c r="H20" s="53" t="n">
        <f aca="false">C20*D20/1000</f>
        <v>2895</v>
      </c>
      <c r="I20" s="86" t="n">
        <f aca="false">G20*E20/1000</f>
        <v>28</v>
      </c>
      <c r="J20" s="6" t="s">
        <v>239</v>
      </c>
    </row>
    <row r="21" customFormat="false" ht="19.5" hidden="false" customHeight="true" outlineLevel="0" collapsed="false">
      <c r="A21" s="42" t="n">
        <v>6</v>
      </c>
      <c r="B21" s="87" t="s">
        <v>244</v>
      </c>
      <c r="C21" s="51" t="n">
        <v>2800</v>
      </c>
      <c r="D21" s="84" t="n">
        <v>386</v>
      </c>
      <c r="E21" s="84" t="n">
        <v>8</v>
      </c>
      <c r="F21" s="51" t="n">
        <v>2500</v>
      </c>
      <c r="G21" s="85" t="n">
        <f aca="false">MAX(C21-F21,0)</f>
        <v>300</v>
      </c>
      <c r="H21" s="53" t="n">
        <f aca="false">C21*D21/1000</f>
        <v>1080.8</v>
      </c>
      <c r="I21" s="86" t="n">
        <f aca="false">G21*E21/1000</f>
        <v>2.4</v>
      </c>
      <c r="J21" s="6" t="s">
        <v>239</v>
      </c>
    </row>
    <row r="22" customFormat="false" ht="19.5" hidden="false" customHeight="true" outlineLevel="0" collapsed="false">
      <c r="A22" s="42" t="n">
        <v>7</v>
      </c>
      <c r="B22" s="83" t="s">
        <v>245</v>
      </c>
      <c r="C22" s="51" t="n">
        <v>1800</v>
      </c>
      <c r="D22" s="84" t="n">
        <v>386</v>
      </c>
      <c r="E22" s="84" t="n">
        <v>8</v>
      </c>
      <c r="F22" s="51" t="n">
        <v>0</v>
      </c>
      <c r="G22" s="85" t="n">
        <f aca="false">MAX(C22-F22,0)</f>
        <v>1800</v>
      </c>
      <c r="H22" s="53" t="n">
        <f aca="false">C22*D22/1000</f>
        <v>694.8</v>
      </c>
      <c r="I22" s="86" t="n">
        <f aca="false">G22*E22/1000</f>
        <v>14.4</v>
      </c>
      <c r="J22" s="6" t="s">
        <v>239</v>
      </c>
    </row>
    <row r="23" customFormat="false" ht="21.75" hidden="false" customHeight="true" outlineLevel="0" collapsed="false">
      <c r="A23" s="88"/>
      <c r="B23" s="89" t="s">
        <v>246</v>
      </c>
      <c r="C23" s="90" t="n">
        <f aca="false">SUM(C16:C22)</f>
        <v>189600</v>
      </c>
      <c r="D23" s="88"/>
      <c r="E23" s="88"/>
      <c r="F23" s="90" t="n">
        <f aca="false">SUM(F16:F22)</f>
        <v>154500</v>
      </c>
      <c r="G23" s="90" t="n">
        <f aca="false">SUM(G16:G22)</f>
        <v>35100</v>
      </c>
      <c r="H23" s="90" t="n">
        <f aca="false">SUM(H16:H22)</f>
        <v>65365.6</v>
      </c>
      <c r="I23" s="90" t="n">
        <f aca="false">SUM(I16:I22)</f>
        <v>280.8</v>
      </c>
      <c r="J23" s="88"/>
    </row>
    <row r="25" customFormat="false" ht="21.75" hidden="false" customHeight="true" outlineLevel="0" collapsed="false">
      <c r="A25" s="91" t="s">
        <v>247</v>
      </c>
      <c r="B25" s="91"/>
      <c r="C25" s="91"/>
      <c r="D25" s="91"/>
      <c r="E25" s="91"/>
      <c r="F25" s="91"/>
      <c r="G25" s="91"/>
      <c r="H25" s="91"/>
      <c r="I25" s="91"/>
      <c r="J25" s="91"/>
    </row>
    <row r="26" customFormat="false" ht="30" hidden="false" customHeight="true" outlineLevel="0" collapsed="false">
      <c r="A26" s="92" t="s">
        <v>62</v>
      </c>
      <c r="B26" s="92" t="s">
        <v>248</v>
      </c>
      <c r="C26" s="92" t="s">
        <v>249</v>
      </c>
      <c r="D26" s="92" t="s">
        <v>64</v>
      </c>
      <c r="E26" s="92" t="s">
        <v>250</v>
      </c>
      <c r="F26" s="92"/>
      <c r="G26" s="92"/>
      <c r="H26" s="92" t="s">
        <v>236</v>
      </c>
      <c r="I26" s="92" t="s">
        <v>237</v>
      </c>
      <c r="J26" s="92" t="s">
        <v>104</v>
      </c>
    </row>
    <row r="27" customFormat="false" ht="19.5" hidden="false" customHeight="true" outlineLevel="0" collapsed="false">
      <c r="A27" s="93" t="n">
        <v>1</v>
      </c>
      <c r="B27" s="94" t="s">
        <v>251</v>
      </c>
      <c r="C27" s="51" t="n">
        <v>48000</v>
      </c>
      <c r="D27" s="12" t="s">
        <v>97</v>
      </c>
      <c r="E27" s="95" t="n">
        <v>66.4</v>
      </c>
      <c r="F27" s="66"/>
      <c r="G27" s="66"/>
      <c r="H27" s="53" t="n">
        <f aca="false">C27*E27/1000</f>
        <v>3187.2</v>
      </c>
      <c r="I27" s="53" t="n">
        <f aca="false">C27*E27/1000</f>
        <v>3187.2</v>
      </c>
      <c r="J27" s="6" t="s">
        <v>252</v>
      </c>
    </row>
    <row r="28" customFormat="false" ht="19.5" hidden="false" customHeight="true" outlineLevel="0" collapsed="false">
      <c r="A28" s="93" t="n">
        <v>2</v>
      </c>
      <c r="B28" s="96" t="s">
        <v>253</v>
      </c>
      <c r="C28" s="51" t="n">
        <v>0</v>
      </c>
      <c r="D28" s="12" t="s">
        <v>97</v>
      </c>
      <c r="E28" s="95" t="n">
        <v>66.4</v>
      </c>
      <c r="F28" s="66"/>
      <c r="G28" s="66"/>
      <c r="H28" s="53" t="n">
        <f aca="false">C28*E28/1000</f>
        <v>0</v>
      </c>
      <c r="I28" s="53" t="n">
        <f aca="false">C28*E28/1000</f>
        <v>0</v>
      </c>
      <c r="J28" s="6" t="s">
        <v>252</v>
      </c>
    </row>
    <row r="29" customFormat="false" ht="19.5" hidden="false" customHeight="true" outlineLevel="0" collapsed="false">
      <c r="A29" s="93" t="n">
        <v>3</v>
      </c>
      <c r="B29" s="94" t="s">
        <v>254</v>
      </c>
      <c r="C29" s="51" t="n">
        <v>0</v>
      </c>
      <c r="D29" s="12" t="s">
        <v>97</v>
      </c>
      <c r="E29" s="95" t="n">
        <v>66.4</v>
      </c>
      <c r="F29" s="66"/>
      <c r="G29" s="66"/>
      <c r="H29" s="53" t="n">
        <f aca="false">C29*E29/1000</f>
        <v>0</v>
      </c>
      <c r="I29" s="53" t="n">
        <f aca="false">C29*E29/1000</f>
        <v>0</v>
      </c>
      <c r="J29" s="6" t="s">
        <v>252</v>
      </c>
    </row>
    <row r="30" customFormat="false" ht="21.75" hidden="false" customHeight="true" outlineLevel="0" collapsed="false">
      <c r="A30" s="97"/>
      <c r="B30" s="98" t="s">
        <v>255</v>
      </c>
      <c r="C30" s="97"/>
      <c r="D30" s="97"/>
      <c r="E30" s="97"/>
      <c r="F30" s="97"/>
      <c r="G30" s="97"/>
      <c r="H30" s="99" t="n">
        <f aca="false">SUM(H27:H29)</f>
        <v>3187.2</v>
      </c>
      <c r="I30" s="99" t="n">
        <f aca="false">SUM(I27:I29)</f>
        <v>3187.2</v>
      </c>
      <c r="J30" s="97"/>
    </row>
    <row r="32" customFormat="false" ht="27.75" hidden="false" customHeight="true" outlineLevel="0" collapsed="false">
      <c r="A32" s="100" t="s">
        <v>256</v>
      </c>
      <c r="B32" s="100"/>
      <c r="C32" s="100"/>
      <c r="D32" s="100"/>
      <c r="E32" s="100"/>
      <c r="F32" s="100"/>
      <c r="G32" s="100"/>
      <c r="H32" s="101" t="n">
        <f aca="false">H23+H30</f>
        <v>68552.8</v>
      </c>
      <c r="I32" s="88"/>
      <c r="J32" s="88"/>
    </row>
    <row r="33" customFormat="false" ht="27.75" hidden="false" customHeight="true" outlineLevel="0" collapsed="false">
      <c r="A33" s="102" t="s">
        <v>257</v>
      </c>
      <c r="B33" s="102"/>
      <c r="C33" s="102"/>
      <c r="D33" s="102"/>
      <c r="E33" s="102"/>
      <c r="F33" s="102"/>
      <c r="G33" s="102"/>
      <c r="H33" s="97"/>
      <c r="I33" s="103" t="n">
        <f aca="false">I23+I30</f>
        <v>3468</v>
      </c>
      <c r="J33" s="97"/>
    </row>
    <row r="34" customFormat="false" ht="14.25" hidden="false" customHeight="true" outlineLevel="0" collapsed="false">
      <c r="A34" s="1" t="s">
        <v>258</v>
      </c>
    </row>
  </sheetData>
  <mergeCells count="8">
    <mergeCell ref="A1:J1"/>
    <mergeCell ref="A2:J2"/>
    <mergeCell ref="A4:J4"/>
    <mergeCell ref="A5:J5"/>
    <mergeCell ref="A14:J14"/>
    <mergeCell ref="A25:J25"/>
    <mergeCell ref="A32:G32"/>
    <mergeCell ref="A33:G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A1:M70"/>
  <sheetViews>
    <sheetView showFormulas="false" showGridLines="false" showRowColHeaders="true" showZeros="true" rightToLeft="false" tabSelected="false" showOutlineSymbols="true" defaultGridColor="true" view="normal" topLeftCell="A1" colorId="64" zoomScale="107" zoomScaleNormal="107" zoomScalePageLayoutView="100" workbookViewId="0">
      <pane xSplit="2" ySplit="5" topLeftCell="C24" activePane="bottomRight" state="frozen"/>
      <selection pane="topLeft" activeCell="A1" activeCellId="0" sqref="A1"/>
      <selection pane="topRight" activeCell="C1" activeCellId="0" sqref="C1"/>
      <selection pane="bottomLeft" activeCell="A24" activeCellId="0" sqref="A24"/>
      <selection pane="bottomRight" activeCell="F58" activeCellId="0" sqref="F58"/>
    </sheetView>
  </sheetViews>
  <sheetFormatPr defaultColWidth="8.66796875" defaultRowHeight="14.25" zeroHeight="false" outlineLevelRow="0" outlineLevelCol="0"/>
  <cols>
    <col collapsed="false" customWidth="true" hidden="false" outlineLevel="0" max="1" min="1" style="1" width="5"/>
    <col collapsed="false" customWidth="true" hidden="false" outlineLevel="0" max="2" min="2" style="1" width="51.67"/>
    <col collapsed="false" customWidth="true" hidden="false" outlineLevel="0" max="3" min="3" style="1" width="28"/>
    <col collapsed="false" customWidth="true" hidden="false" outlineLevel="0" max="5" min="4" style="1" width="18"/>
    <col collapsed="false" customWidth="true" hidden="false" outlineLevel="0" max="6" min="6" style="1" width="16"/>
    <col collapsed="false" customWidth="true" hidden="false" outlineLevel="0" max="8" min="7" style="1" width="22"/>
    <col collapsed="false" customWidth="true" hidden="false" outlineLevel="0" max="9" min="9" style="1" width="40.11"/>
    <col collapsed="false" customWidth="true" hidden="false" outlineLevel="0" max="10" min="10" style="1" width="28.11"/>
    <col collapsed="false" customWidth="true" hidden="false" outlineLevel="0" max="11" min="11" style="1" width="16"/>
    <col collapsed="false" customWidth="true" hidden="false" outlineLevel="0" max="12" min="12" style="1" width="26"/>
    <col collapsed="false" customWidth="true" hidden="false" outlineLevel="0" max="13" min="13" style="1" width="12.56"/>
  </cols>
  <sheetData>
    <row r="1" customFormat="false" ht="48" hidden="false" customHeight="true" outlineLevel="0" collapsed="false">
      <c r="A1" s="104" t="s">
        <v>259</v>
      </c>
      <c r="B1" s="104"/>
      <c r="C1" s="104"/>
      <c r="D1" s="104"/>
      <c r="E1" s="104"/>
      <c r="F1" s="104"/>
      <c r="G1" s="104"/>
      <c r="H1" s="104"/>
      <c r="I1" s="104"/>
      <c r="J1" s="104"/>
      <c r="K1" s="104"/>
      <c r="L1" s="104"/>
    </row>
    <row r="2" customFormat="false" ht="19.5" hidden="false" customHeight="true" outlineLevel="0" collapsed="false">
      <c r="A2" s="105" t="s">
        <v>260</v>
      </c>
      <c r="B2" s="105"/>
      <c r="C2" s="105"/>
      <c r="D2" s="105"/>
      <c r="E2" s="105"/>
      <c r="F2" s="105"/>
      <c r="G2" s="105"/>
      <c r="H2" s="105"/>
      <c r="I2" s="105"/>
      <c r="J2" s="105"/>
      <c r="K2" s="105"/>
      <c r="L2" s="105"/>
    </row>
    <row r="4" customFormat="false" ht="21.75" hidden="false" customHeight="true" outlineLevel="0" collapsed="false">
      <c r="A4" s="106" t="s">
        <v>261</v>
      </c>
      <c r="B4" s="106"/>
      <c r="C4" s="106"/>
      <c r="D4" s="106"/>
      <c r="E4" s="106"/>
      <c r="F4" s="106"/>
      <c r="G4" s="106"/>
      <c r="H4" s="106"/>
      <c r="I4" s="106"/>
      <c r="J4" s="106"/>
      <c r="K4" s="106"/>
      <c r="L4" s="106"/>
    </row>
    <row r="5" customFormat="false" ht="27.75" hidden="false" customHeight="true" outlineLevel="0" collapsed="false">
      <c r="A5" s="107"/>
      <c r="B5" s="107" t="s">
        <v>262</v>
      </c>
      <c r="C5" s="107" t="s">
        <v>263</v>
      </c>
      <c r="D5" s="107" t="s">
        <v>264</v>
      </c>
      <c r="E5" s="107" t="s">
        <v>265</v>
      </c>
      <c r="F5" s="107" t="s">
        <v>266</v>
      </c>
      <c r="G5" s="108" t="s">
        <v>267</v>
      </c>
      <c r="H5" s="107" t="s">
        <v>268</v>
      </c>
      <c r="I5" s="107"/>
      <c r="J5" s="107"/>
      <c r="K5" s="107"/>
    </row>
    <row r="6" customFormat="false" ht="18" hidden="false" customHeight="true" outlineLevel="0" collapsed="false">
      <c r="A6" s="109"/>
      <c r="B6" s="110" t="s">
        <v>269</v>
      </c>
      <c r="C6" s="111" t="s">
        <v>270</v>
      </c>
      <c r="D6" s="112" t="s">
        <v>271</v>
      </c>
      <c r="E6" s="112" t="s">
        <v>272</v>
      </c>
      <c r="F6" s="112" t="s">
        <v>273</v>
      </c>
      <c r="G6" s="112" t="s">
        <v>274</v>
      </c>
      <c r="H6" s="113" t="s">
        <v>275</v>
      </c>
    </row>
    <row r="7" customFormat="false" ht="18" hidden="false" customHeight="true" outlineLevel="0" collapsed="false">
      <c r="A7" s="109"/>
      <c r="B7" s="110" t="s">
        <v>276</v>
      </c>
      <c r="C7" s="111" t="s">
        <v>277</v>
      </c>
      <c r="D7" s="112" t="s">
        <v>271</v>
      </c>
      <c r="E7" s="112" t="s">
        <v>278</v>
      </c>
      <c r="F7" s="112" t="s">
        <v>279</v>
      </c>
      <c r="G7" s="112" t="s">
        <v>280</v>
      </c>
      <c r="H7" s="113" t="s">
        <v>281</v>
      </c>
    </row>
    <row r="8" customFormat="false" ht="18" hidden="false" customHeight="true" outlineLevel="0" collapsed="false">
      <c r="A8" s="109"/>
      <c r="B8" s="110" t="s">
        <v>282</v>
      </c>
      <c r="C8" s="111" t="s">
        <v>283</v>
      </c>
      <c r="D8" s="112" t="s">
        <v>271</v>
      </c>
      <c r="E8" s="112" t="s">
        <v>284</v>
      </c>
      <c r="F8" s="112" t="s">
        <v>285</v>
      </c>
      <c r="G8" s="112" t="s">
        <v>286</v>
      </c>
      <c r="H8" s="113" t="s">
        <v>287</v>
      </c>
    </row>
    <row r="9" customFormat="false" ht="18" hidden="false" customHeight="true" outlineLevel="0" collapsed="false">
      <c r="A9" s="109"/>
      <c r="B9" s="110" t="s">
        <v>288</v>
      </c>
      <c r="C9" s="111" t="s">
        <v>289</v>
      </c>
      <c r="D9" s="112" t="s">
        <v>271</v>
      </c>
      <c r="E9" s="112" t="s">
        <v>290</v>
      </c>
      <c r="F9" s="112" t="s">
        <v>291</v>
      </c>
      <c r="G9" s="112" t="s">
        <v>280</v>
      </c>
      <c r="H9" s="113" t="s">
        <v>292</v>
      </c>
    </row>
    <row r="10" customFormat="false" ht="18" hidden="false" customHeight="true" outlineLevel="0" collapsed="false">
      <c r="A10" s="109"/>
      <c r="B10" s="110" t="s">
        <v>293</v>
      </c>
      <c r="C10" s="111" t="s">
        <v>294</v>
      </c>
      <c r="D10" s="112" t="s">
        <v>271</v>
      </c>
      <c r="E10" s="112" t="s">
        <v>284</v>
      </c>
      <c r="F10" s="112" t="s">
        <v>295</v>
      </c>
      <c r="G10" s="112" t="s">
        <v>296</v>
      </c>
      <c r="H10" s="113" t="s">
        <v>297</v>
      </c>
    </row>
    <row r="11" customFormat="false" ht="18" hidden="false" customHeight="true" outlineLevel="0" collapsed="false">
      <c r="A11" s="109"/>
      <c r="B11" s="110" t="s">
        <v>298</v>
      </c>
      <c r="C11" s="111" t="s">
        <v>299</v>
      </c>
      <c r="D11" s="112" t="s">
        <v>271</v>
      </c>
      <c r="E11" s="112" t="s">
        <v>300</v>
      </c>
      <c r="F11" s="112" t="s">
        <v>301</v>
      </c>
      <c r="G11" s="112" t="s">
        <v>296</v>
      </c>
      <c r="H11" s="113" t="s">
        <v>302</v>
      </c>
    </row>
    <row r="12" customFormat="false" ht="18" hidden="false" customHeight="true" outlineLevel="0" collapsed="false">
      <c r="A12" s="109"/>
      <c r="B12" s="110" t="s">
        <v>303</v>
      </c>
      <c r="C12" s="111" t="s">
        <v>304</v>
      </c>
      <c r="D12" s="112" t="s">
        <v>271</v>
      </c>
      <c r="E12" s="112" t="s">
        <v>305</v>
      </c>
      <c r="F12" s="112" t="s">
        <v>306</v>
      </c>
      <c r="G12" s="112" t="s">
        <v>296</v>
      </c>
      <c r="H12" s="113" t="s">
        <v>307</v>
      </c>
    </row>
    <row r="13" customFormat="false" ht="18" hidden="false" customHeight="true" outlineLevel="0" collapsed="false">
      <c r="A13" s="109"/>
      <c r="B13" s="110" t="s">
        <v>308</v>
      </c>
      <c r="C13" s="111" t="s">
        <v>309</v>
      </c>
      <c r="D13" s="112" t="s">
        <v>271</v>
      </c>
      <c r="E13" s="112" t="s">
        <v>310</v>
      </c>
      <c r="F13" s="112" t="s">
        <v>311</v>
      </c>
      <c r="G13" s="112" t="s">
        <v>312</v>
      </c>
      <c r="H13" s="113" t="s">
        <v>313</v>
      </c>
    </row>
    <row r="14" customFormat="false" ht="18" hidden="false" customHeight="true" outlineLevel="0" collapsed="false">
      <c r="A14" s="114"/>
      <c r="B14" s="115" t="s">
        <v>314</v>
      </c>
      <c r="C14" s="116" t="s">
        <v>315</v>
      </c>
      <c r="D14" s="117" t="s">
        <v>316</v>
      </c>
      <c r="E14" s="117" t="s">
        <v>290</v>
      </c>
      <c r="F14" s="117" t="s">
        <v>317</v>
      </c>
      <c r="G14" s="117" t="s">
        <v>280</v>
      </c>
      <c r="H14" s="113" t="s">
        <v>318</v>
      </c>
    </row>
    <row r="15" customFormat="false" ht="18" hidden="false" customHeight="true" outlineLevel="0" collapsed="false">
      <c r="A15" s="114"/>
      <c r="B15" s="115" t="s">
        <v>319</v>
      </c>
      <c r="C15" s="116" t="s">
        <v>320</v>
      </c>
      <c r="D15" s="117" t="s">
        <v>316</v>
      </c>
      <c r="E15" s="117" t="s">
        <v>321</v>
      </c>
      <c r="F15" s="117" t="s">
        <v>322</v>
      </c>
      <c r="G15" s="117" t="s">
        <v>286</v>
      </c>
      <c r="H15" s="113" t="s">
        <v>323</v>
      </c>
    </row>
    <row r="16" customFormat="false" ht="18" hidden="false" customHeight="true" outlineLevel="0" collapsed="false">
      <c r="A16" s="114"/>
      <c r="B16" s="115" t="s">
        <v>324</v>
      </c>
      <c r="C16" s="116" t="s">
        <v>325</v>
      </c>
      <c r="D16" s="117" t="s">
        <v>316</v>
      </c>
      <c r="E16" s="117" t="s">
        <v>326</v>
      </c>
      <c r="F16" s="117" t="s">
        <v>327</v>
      </c>
      <c r="G16" s="117" t="s">
        <v>328</v>
      </c>
      <c r="H16" s="113" t="s">
        <v>329</v>
      </c>
    </row>
    <row r="17" customFormat="false" ht="18" hidden="false" customHeight="true" outlineLevel="0" collapsed="false">
      <c r="A17" s="114"/>
      <c r="B17" s="115" t="s">
        <v>330</v>
      </c>
      <c r="C17" s="116" t="s">
        <v>331</v>
      </c>
      <c r="D17" s="117" t="s">
        <v>316</v>
      </c>
      <c r="E17" s="117" t="s">
        <v>332</v>
      </c>
      <c r="F17" s="117" t="s">
        <v>333</v>
      </c>
      <c r="G17" s="117" t="s">
        <v>312</v>
      </c>
      <c r="H17" s="113" t="s">
        <v>334</v>
      </c>
    </row>
    <row r="18" customFormat="false" ht="18" hidden="false" customHeight="true" outlineLevel="0" collapsed="false">
      <c r="A18" s="114"/>
      <c r="B18" s="115" t="s">
        <v>335</v>
      </c>
      <c r="C18" s="116" t="s">
        <v>336</v>
      </c>
      <c r="D18" s="117" t="s">
        <v>316</v>
      </c>
      <c r="E18" s="117" t="s">
        <v>310</v>
      </c>
      <c r="F18" s="117" t="s">
        <v>337</v>
      </c>
      <c r="G18" s="117" t="s">
        <v>296</v>
      </c>
      <c r="H18" s="113" t="s">
        <v>338</v>
      </c>
    </row>
    <row r="19" customFormat="false" ht="18" hidden="false" customHeight="true" outlineLevel="0" collapsed="false">
      <c r="A19" s="114"/>
      <c r="B19" s="115" t="s">
        <v>339</v>
      </c>
      <c r="C19" s="116" t="s">
        <v>340</v>
      </c>
      <c r="D19" s="117" t="s">
        <v>316</v>
      </c>
      <c r="E19" s="117" t="s">
        <v>284</v>
      </c>
      <c r="F19" s="117" t="s">
        <v>341</v>
      </c>
      <c r="G19" s="117" t="s">
        <v>296</v>
      </c>
      <c r="H19" s="113" t="s">
        <v>342</v>
      </c>
    </row>
    <row r="20" customFormat="false" ht="18" hidden="false" customHeight="true" outlineLevel="0" collapsed="false">
      <c r="A20" s="114"/>
      <c r="B20" s="115" t="s">
        <v>343</v>
      </c>
      <c r="C20" s="116" t="s">
        <v>344</v>
      </c>
      <c r="D20" s="117" t="s">
        <v>316</v>
      </c>
      <c r="E20" s="117" t="s">
        <v>345</v>
      </c>
      <c r="F20" s="117" t="s">
        <v>346</v>
      </c>
      <c r="G20" s="117" t="s">
        <v>347</v>
      </c>
      <c r="H20" s="113" t="s">
        <v>348</v>
      </c>
    </row>
    <row r="23" customFormat="false" ht="21.75" hidden="false" customHeight="true" outlineLevel="0" collapsed="false">
      <c r="A23" s="106" t="s">
        <v>349</v>
      </c>
      <c r="B23" s="106"/>
      <c r="C23" s="106"/>
      <c r="D23" s="106"/>
      <c r="E23" s="106"/>
      <c r="F23" s="106"/>
      <c r="G23" s="106"/>
      <c r="H23" s="106"/>
      <c r="I23" s="106"/>
      <c r="J23" s="106"/>
      <c r="K23" s="106"/>
      <c r="L23" s="106"/>
    </row>
    <row r="24" customFormat="false" ht="27.75" hidden="false" customHeight="true" outlineLevel="0" collapsed="false">
      <c r="A24" s="107" t="s">
        <v>62</v>
      </c>
      <c r="B24" s="107" t="s">
        <v>350</v>
      </c>
      <c r="C24" s="107" t="s">
        <v>351</v>
      </c>
      <c r="D24" s="118" t="s">
        <v>352</v>
      </c>
      <c r="E24" s="107" t="s">
        <v>353</v>
      </c>
      <c r="F24" s="107" t="s">
        <v>354</v>
      </c>
      <c r="G24" s="107" t="s">
        <v>355</v>
      </c>
      <c r="H24" s="107" t="s">
        <v>104</v>
      </c>
      <c r="I24" s="107"/>
      <c r="J24" s="107" t="s">
        <v>356</v>
      </c>
      <c r="K24" s="107" t="s">
        <v>357</v>
      </c>
      <c r="L24" s="107" t="s">
        <v>104</v>
      </c>
    </row>
    <row r="25" customFormat="false" ht="19.5" hidden="false" customHeight="true" outlineLevel="0" collapsed="false">
      <c r="A25" s="119" t="n">
        <v>1</v>
      </c>
      <c r="B25" s="120" t="s">
        <v>358</v>
      </c>
      <c r="C25" s="11" t="n">
        <v>180000000</v>
      </c>
      <c r="D25" s="121" t="n">
        <v>0.35</v>
      </c>
      <c r="E25" s="121" t="s">
        <v>359</v>
      </c>
      <c r="F25" s="122" t="s">
        <v>360</v>
      </c>
      <c r="G25" s="66"/>
      <c r="H25" s="122" t="s">
        <v>361</v>
      </c>
      <c r="I25" s="66"/>
      <c r="J25" s="123" t="n">
        <f aca="false">C25*D25/1000</f>
        <v>63000</v>
      </c>
      <c r="K25" s="15" t="s">
        <v>362</v>
      </c>
      <c r="L25" s="6" t="s">
        <v>363</v>
      </c>
    </row>
    <row r="26" customFormat="false" ht="19.5" hidden="false" customHeight="true" outlineLevel="0" collapsed="false">
      <c r="A26" s="119" t="n">
        <v>2</v>
      </c>
      <c r="B26" s="124" t="s">
        <v>364</v>
      </c>
      <c r="C26" s="11" t="n">
        <v>95000000</v>
      </c>
      <c r="D26" s="121" t="n">
        <v>0.52</v>
      </c>
      <c r="E26" s="121" t="s">
        <v>365</v>
      </c>
      <c r="F26" s="122" t="s">
        <v>360</v>
      </c>
      <c r="G26" s="66"/>
      <c r="H26" s="122" t="s">
        <v>366</v>
      </c>
      <c r="I26" s="66"/>
      <c r="J26" s="123" t="n">
        <f aca="false">C26*D26/1000</f>
        <v>49400</v>
      </c>
      <c r="K26" s="15" t="s">
        <v>362</v>
      </c>
      <c r="L26" s="6" t="s">
        <v>363</v>
      </c>
    </row>
    <row r="27" customFormat="false" ht="19.5" hidden="false" customHeight="true" outlineLevel="0" collapsed="false">
      <c r="A27" s="119" t="n">
        <v>3</v>
      </c>
      <c r="B27" s="120" t="s">
        <v>367</v>
      </c>
      <c r="C27" s="11" t="n">
        <v>42000000</v>
      </c>
      <c r="D27" s="121" t="n">
        <v>0.63</v>
      </c>
      <c r="E27" s="121" t="s">
        <v>368</v>
      </c>
      <c r="F27" s="122" t="s">
        <v>360</v>
      </c>
      <c r="G27" s="66"/>
      <c r="H27" s="122" t="s">
        <v>369</v>
      </c>
      <c r="I27" s="66"/>
      <c r="J27" s="123" t="n">
        <f aca="false">C27*D27/1000</f>
        <v>26460</v>
      </c>
      <c r="K27" s="15" t="s">
        <v>362</v>
      </c>
      <c r="L27" s="6" t="s">
        <v>363</v>
      </c>
    </row>
    <row r="28" customFormat="false" ht="19.5" hidden="false" customHeight="true" outlineLevel="0" collapsed="false">
      <c r="A28" s="119" t="n">
        <v>4</v>
      </c>
      <c r="B28" s="124" t="s">
        <v>370</v>
      </c>
      <c r="C28" s="11" t="n">
        <v>78000000</v>
      </c>
      <c r="D28" s="121" t="n">
        <v>0.85</v>
      </c>
      <c r="E28" s="121" t="s">
        <v>371</v>
      </c>
      <c r="F28" s="122" t="s">
        <v>360</v>
      </c>
      <c r="G28" s="66"/>
      <c r="H28" s="122" t="s">
        <v>372</v>
      </c>
      <c r="I28" s="66"/>
      <c r="J28" s="123" t="n">
        <f aca="false">C28*D28/1000</f>
        <v>66300</v>
      </c>
      <c r="K28" s="15" t="s">
        <v>362</v>
      </c>
      <c r="L28" s="6" t="s">
        <v>363</v>
      </c>
    </row>
    <row r="29" customFormat="false" ht="19.5" hidden="false" customHeight="true" outlineLevel="0" collapsed="false">
      <c r="A29" s="119" t="n">
        <v>5</v>
      </c>
      <c r="B29" s="120" t="s">
        <v>373</v>
      </c>
      <c r="C29" s="11" t="n">
        <v>55000000</v>
      </c>
      <c r="D29" s="121" t="n">
        <v>0.12</v>
      </c>
      <c r="E29" s="121" t="s">
        <v>374</v>
      </c>
      <c r="F29" s="122" t="s">
        <v>360</v>
      </c>
      <c r="G29" s="66"/>
      <c r="H29" s="122" t="s">
        <v>375</v>
      </c>
      <c r="I29" s="66"/>
      <c r="J29" s="123" t="n">
        <f aca="false">C29*D29/1000</f>
        <v>6600</v>
      </c>
      <c r="K29" s="15" t="s">
        <v>362</v>
      </c>
      <c r="L29" s="6" t="s">
        <v>363</v>
      </c>
    </row>
    <row r="30" customFormat="false" ht="19.5" hidden="false" customHeight="true" outlineLevel="0" collapsed="false">
      <c r="A30" s="119" t="n">
        <v>6</v>
      </c>
      <c r="B30" s="124" t="s">
        <v>376</v>
      </c>
      <c r="C30" s="11" t="n">
        <v>8500000</v>
      </c>
      <c r="D30" s="121" t="n">
        <v>0.95</v>
      </c>
      <c r="E30" s="121" t="s">
        <v>377</v>
      </c>
      <c r="F30" s="122" t="s">
        <v>360</v>
      </c>
      <c r="G30" s="66"/>
      <c r="H30" s="122" t="s">
        <v>378</v>
      </c>
      <c r="I30" s="66"/>
      <c r="J30" s="123" t="n">
        <f aca="false">C30*D30/1000</f>
        <v>8075</v>
      </c>
      <c r="K30" s="15" t="s">
        <v>362</v>
      </c>
      <c r="L30" s="6" t="s">
        <v>363</v>
      </c>
    </row>
    <row r="31" customFormat="false" ht="19.5" hidden="false" customHeight="true" outlineLevel="0" collapsed="false">
      <c r="A31" s="119" t="n">
        <v>7</v>
      </c>
      <c r="B31" s="120" t="s">
        <v>379</v>
      </c>
      <c r="C31" s="11" t="n">
        <v>120000000</v>
      </c>
      <c r="D31" s="121" t="n">
        <v>0.42</v>
      </c>
      <c r="E31" s="121" t="s">
        <v>380</v>
      </c>
      <c r="F31" s="122" t="s">
        <v>360</v>
      </c>
      <c r="G31" s="66"/>
      <c r="H31" s="122" t="s">
        <v>381</v>
      </c>
      <c r="I31" s="66"/>
      <c r="J31" s="123" t="n">
        <f aca="false">C31*D31/1000</f>
        <v>50400</v>
      </c>
      <c r="K31" s="15" t="s">
        <v>362</v>
      </c>
      <c r="L31" s="6" t="s">
        <v>363</v>
      </c>
    </row>
    <row r="32" customFormat="false" ht="19.5" hidden="false" customHeight="true" outlineLevel="0" collapsed="false">
      <c r="A32" s="119" t="n">
        <v>8</v>
      </c>
      <c r="B32" s="124" t="s">
        <v>382</v>
      </c>
      <c r="C32" s="11" t="n">
        <v>65000000</v>
      </c>
      <c r="D32" s="121" t="n">
        <v>0.25</v>
      </c>
      <c r="E32" s="121" t="s">
        <v>383</v>
      </c>
      <c r="F32" s="122"/>
      <c r="G32" s="66"/>
      <c r="H32" s="122"/>
      <c r="I32" s="66"/>
      <c r="J32" s="123" t="n">
        <f aca="false">C32*D32/1000</f>
        <v>16250</v>
      </c>
      <c r="K32" s="15" t="s">
        <v>362</v>
      </c>
      <c r="L32" s="6" t="s">
        <v>363</v>
      </c>
    </row>
    <row r="33" customFormat="false" ht="21.75" hidden="false" customHeight="true" outlineLevel="0" collapsed="false">
      <c r="A33" s="125"/>
      <c r="B33" s="126" t="s">
        <v>384</v>
      </c>
      <c r="C33" s="127" t="n">
        <f aca="false">SUM(C25:C32)</f>
        <v>643500000</v>
      </c>
      <c r="D33" s="125"/>
      <c r="E33" s="125"/>
      <c r="F33" s="125"/>
      <c r="G33" s="125"/>
      <c r="H33" s="125"/>
      <c r="I33" s="125"/>
      <c r="J33" s="123" t="n">
        <f aca="false">SUM(J25:J32)</f>
        <v>286485</v>
      </c>
      <c r="K33" s="125"/>
      <c r="L33" s="125"/>
    </row>
    <row r="34" customFormat="false" ht="14.25" hidden="false" customHeight="true" outlineLevel="0" collapsed="false">
      <c r="B34" s="1" t="s">
        <v>385</v>
      </c>
    </row>
    <row r="35" customFormat="false" ht="14.25" hidden="false" customHeight="true" outlineLevel="0" collapsed="false">
      <c r="B35" s="1" t="s">
        <v>386</v>
      </c>
    </row>
    <row r="36" customFormat="false" ht="21.75" hidden="false" customHeight="true" outlineLevel="0" collapsed="false">
      <c r="A36" s="128" t="s">
        <v>387</v>
      </c>
      <c r="B36" s="128"/>
      <c r="C36" s="128"/>
      <c r="D36" s="128"/>
      <c r="E36" s="128"/>
      <c r="F36" s="128"/>
      <c r="G36" s="128"/>
      <c r="H36" s="128"/>
      <c r="I36" s="128"/>
      <c r="J36" s="128"/>
      <c r="K36" s="128"/>
      <c r="L36" s="128"/>
    </row>
    <row r="37" customFormat="false" ht="27.75" hidden="false" customHeight="true" outlineLevel="0" collapsed="false">
      <c r="A37" s="129" t="s">
        <v>62</v>
      </c>
      <c r="B37" s="129" t="s">
        <v>388</v>
      </c>
      <c r="C37" s="129" t="s">
        <v>389</v>
      </c>
      <c r="D37" s="129" t="s">
        <v>390</v>
      </c>
      <c r="E37" s="130" t="s">
        <v>391</v>
      </c>
      <c r="F37" s="131" t="s">
        <v>392</v>
      </c>
      <c r="G37" s="132" t="s">
        <v>393</v>
      </c>
      <c r="H37" s="133" t="s">
        <v>394</v>
      </c>
      <c r="I37" s="131" t="s">
        <v>395</v>
      </c>
      <c r="J37" s="134" t="s">
        <v>356</v>
      </c>
      <c r="K37" s="133" t="s">
        <v>396</v>
      </c>
      <c r="L37" s="135" t="s">
        <v>397</v>
      </c>
      <c r="M37" s="135" t="s">
        <v>104</v>
      </c>
    </row>
    <row r="38" customFormat="false" ht="19.5" hidden="false" customHeight="true" outlineLevel="0" collapsed="false">
      <c r="A38" s="136" t="n">
        <v>1</v>
      </c>
      <c r="B38" s="137" t="s">
        <v>398</v>
      </c>
      <c r="C38" s="138" t="n">
        <f aca="false">'Scope 2'!H32+0</f>
        <v>68552.8</v>
      </c>
      <c r="D38" s="139" t="n">
        <v>0.042</v>
      </c>
      <c r="E38" s="95" t="n">
        <v>26.5</v>
      </c>
      <c r="F38" s="95" t="n">
        <f aca="false">C38*D38</f>
        <v>2879.2176</v>
      </c>
      <c r="G38" s="95" t="n">
        <f aca="false">F38*E38</f>
        <v>76299.2664</v>
      </c>
      <c r="H38" s="95" t="n">
        <f aca="false">G38/1000</f>
        <v>76.2992664</v>
      </c>
      <c r="I38" s="140" t="n">
        <v>416</v>
      </c>
      <c r="J38" s="141" t="n">
        <f aca="false">C38*D38*E38/1000</f>
        <v>76.2992664</v>
      </c>
      <c r="K38" s="142" t="n">
        <f aca="false">I38*F38/1000</f>
        <v>1197.7545216</v>
      </c>
      <c r="L38" s="6"/>
      <c r="M38" s="6" t="s">
        <v>399</v>
      </c>
    </row>
    <row r="39" customFormat="false" ht="19.5" hidden="false" customHeight="true" outlineLevel="0" collapsed="false">
      <c r="A39" s="136" t="n">
        <v>2</v>
      </c>
      <c r="B39" s="143" t="s">
        <v>400</v>
      </c>
      <c r="C39" s="51" t="n">
        <v>300675</v>
      </c>
      <c r="D39" s="139" t="n">
        <v>0.042</v>
      </c>
      <c r="E39" s="95" t="n">
        <v>15.4</v>
      </c>
      <c r="F39" s="95" t="n">
        <f aca="false">C39*D39</f>
        <v>12628.35</v>
      </c>
      <c r="G39" s="95" t="n">
        <f aca="false">F39*E39</f>
        <v>194476.59</v>
      </c>
      <c r="H39" s="95" t="n">
        <f aca="false">G39/1000</f>
        <v>194.47659</v>
      </c>
      <c r="I39" s="95"/>
      <c r="J39" s="123" t="n">
        <f aca="false">C39*E39/1000</f>
        <v>4630.395</v>
      </c>
      <c r="K39" s="142"/>
      <c r="L39" s="6"/>
      <c r="M39" s="6" t="s">
        <v>399</v>
      </c>
    </row>
    <row r="40" customFormat="false" ht="19.5" hidden="false" customHeight="true" outlineLevel="0" collapsed="false">
      <c r="A40" s="136" t="n">
        <v>3</v>
      </c>
      <c r="B40" s="137" t="s">
        <v>401</v>
      </c>
      <c r="C40" s="51" t="n">
        <v>10231500</v>
      </c>
      <c r="D40" s="139" t="n">
        <v>0.042</v>
      </c>
      <c r="E40" s="95" t="n">
        <v>16.7</v>
      </c>
      <c r="F40" s="95" t="n">
        <f aca="false">C40*D40</f>
        <v>429723</v>
      </c>
      <c r="G40" s="95" t="n">
        <f aca="false">F40*E40</f>
        <v>7176374.1</v>
      </c>
      <c r="H40" s="95" t="n">
        <f aca="false">G40/1000</f>
        <v>7176.3741</v>
      </c>
      <c r="I40" s="95"/>
      <c r="J40" s="123" t="n">
        <f aca="false">C40*E40/1000</f>
        <v>170866.05</v>
      </c>
      <c r="K40" s="142"/>
      <c r="L40" s="6"/>
      <c r="M40" s="6" t="s">
        <v>399</v>
      </c>
    </row>
    <row r="41" customFormat="false" ht="19.5" hidden="false" customHeight="true" outlineLevel="0" collapsed="false">
      <c r="A41" s="136" t="n">
        <v>4</v>
      </c>
      <c r="B41" s="143" t="s">
        <v>402</v>
      </c>
      <c r="C41" s="51" t="n">
        <v>37920</v>
      </c>
      <c r="D41" s="139" t="n">
        <v>0.042</v>
      </c>
      <c r="E41" s="95" t="n">
        <v>14.8</v>
      </c>
      <c r="F41" s="95" t="n">
        <f aca="false">C41*D41</f>
        <v>1592.64</v>
      </c>
      <c r="G41" s="95" t="n">
        <f aca="false">F41*E41</f>
        <v>23571.072</v>
      </c>
      <c r="H41" s="95" t="n">
        <f aca="false">G41/1000</f>
        <v>23.571072</v>
      </c>
      <c r="I41" s="95"/>
      <c r="J41" s="123" t="n">
        <f aca="false">C41*E41/1000</f>
        <v>561.216</v>
      </c>
      <c r="K41" s="142"/>
      <c r="L41" s="6"/>
      <c r="M41" s="6" t="s">
        <v>399</v>
      </c>
    </row>
    <row r="42" customFormat="false" ht="21.75" hidden="false" customHeight="true" outlineLevel="0" collapsed="false">
      <c r="A42" s="144"/>
      <c r="B42" s="145" t="s">
        <v>403</v>
      </c>
      <c r="C42" s="144"/>
      <c r="D42" s="144"/>
      <c r="E42" s="144"/>
      <c r="F42" s="144"/>
      <c r="G42" s="144"/>
      <c r="H42" s="144"/>
      <c r="I42" s="144" t="s">
        <v>404</v>
      </c>
      <c r="J42" s="146" t="n">
        <f aca="false">SUM(J38:J41)</f>
        <v>176133.9602664</v>
      </c>
      <c r="K42" s="144"/>
      <c r="L42" s="144"/>
      <c r="M42" s="144"/>
    </row>
    <row r="43" customFormat="false" ht="14.25" hidden="false" customHeight="true" outlineLevel="0" collapsed="false">
      <c r="B43" s="1" t="s">
        <v>405</v>
      </c>
    </row>
    <row r="44" customFormat="false" ht="14.25" hidden="false" customHeight="true" outlineLevel="0" collapsed="false">
      <c r="B44" s="1" t="s">
        <v>406</v>
      </c>
    </row>
    <row r="45" customFormat="false" ht="14.25" hidden="false" customHeight="true" outlineLevel="0" collapsed="false">
      <c r="B45" s="1" t="s">
        <v>407</v>
      </c>
    </row>
    <row r="46" customFormat="false" ht="21.75" hidden="false" customHeight="true" outlineLevel="0" collapsed="false">
      <c r="A46" s="147" t="s">
        <v>408</v>
      </c>
      <c r="B46" s="147"/>
      <c r="C46" s="147"/>
      <c r="D46" s="147"/>
      <c r="E46" s="147"/>
      <c r="F46" s="147"/>
      <c r="G46" s="147"/>
      <c r="H46" s="147"/>
      <c r="I46" s="147"/>
      <c r="J46" s="147"/>
      <c r="K46" s="147"/>
      <c r="L46" s="147"/>
    </row>
    <row r="47" customFormat="false" ht="27.75" hidden="false" customHeight="true" outlineLevel="0" collapsed="false">
      <c r="A47" s="148" t="s">
        <v>62</v>
      </c>
      <c r="B47" s="148" t="s">
        <v>409</v>
      </c>
      <c r="C47" s="148" t="s">
        <v>410</v>
      </c>
      <c r="D47" s="148" t="s">
        <v>64</v>
      </c>
      <c r="E47" s="148" t="s">
        <v>411</v>
      </c>
      <c r="F47" s="148" t="s">
        <v>412</v>
      </c>
      <c r="G47" s="148" t="s">
        <v>413</v>
      </c>
      <c r="H47" s="148"/>
      <c r="I47" s="148"/>
      <c r="J47" s="148" t="s">
        <v>356</v>
      </c>
      <c r="K47" s="148" t="s">
        <v>397</v>
      </c>
      <c r="L47" s="148" t="s">
        <v>104</v>
      </c>
    </row>
    <row r="48" customFormat="false" ht="19.5" hidden="false" customHeight="true" outlineLevel="0" collapsed="false">
      <c r="A48" s="149" t="n">
        <v>1</v>
      </c>
      <c r="B48" s="150" t="s">
        <v>414</v>
      </c>
      <c r="C48" s="11" t="n">
        <v>4200000</v>
      </c>
      <c r="D48" s="12" t="s">
        <v>415</v>
      </c>
      <c r="E48" s="12" t="s">
        <v>416</v>
      </c>
      <c r="F48" s="121" t="n">
        <v>0.255</v>
      </c>
      <c r="G48" s="151" t="s">
        <v>93</v>
      </c>
      <c r="H48" s="66"/>
      <c r="I48" s="66"/>
      <c r="J48" s="123" t="n">
        <f aca="false">C48*F48/1000</f>
        <v>1071</v>
      </c>
      <c r="K48" s="15"/>
      <c r="L48" s="6" t="s">
        <v>417</v>
      </c>
    </row>
    <row r="49" customFormat="false" ht="19.5" hidden="false" customHeight="true" outlineLevel="0" collapsed="false">
      <c r="A49" s="149" t="n">
        <v>2</v>
      </c>
      <c r="B49" s="152" t="s">
        <v>418</v>
      </c>
      <c r="C49" s="11" t="n">
        <v>1800000</v>
      </c>
      <c r="D49" s="12" t="s">
        <v>415</v>
      </c>
      <c r="E49" s="12" t="s">
        <v>416</v>
      </c>
      <c r="F49" s="121" t="n">
        <v>0.195</v>
      </c>
      <c r="G49" s="151" t="s">
        <v>93</v>
      </c>
      <c r="H49" s="66"/>
      <c r="I49" s="66"/>
      <c r="J49" s="123" t="n">
        <f aca="false">C49*F49/1000</f>
        <v>351</v>
      </c>
      <c r="K49" s="15"/>
      <c r="L49" s="6" t="s">
        <v>417</v>
      </c>
    </row>
    <row r="50" customFormat="false" ht="19.5" hidden="false" customHeight="true" outlineLevel="0" collapsed="false">
      <c r="A50" s="149" t="n">
        <v>3</v>
      </c>
      <c r="B50" s="150" t="s">
        <v>419</v>
      </c>
      <c r="C50" s="11" t="n">
        <v>350000</v>
      </c>
      <c r="D50" s="12" t="s">
        <v>415</v>
      </c>
      <c r="E50" s="12" t="s">
        <v>420</v>
      </c>
      <c r="F50" s="121" t="n">
        <v>0.429</v>
      </c>
      <c r="G50" s="151" t="s">
        <v>93</v>
      </c>
      <c r="H50" s="66"/>
      <c r="I50" s="66"/>
      <c r="J50" s="123" t="n">
        <f aca="false">C50*F50/1000</f>
        <v>150.15</v>
      </c>
      <c r="K50" s="15"/>
      <c r="L50" s="6" t="s">
        <v>417</v>
      </c>
    </row>
    <row r="51" customFormat="false" ht="19.5" hidden="false" customHeight="true" outlineLevel="0" collapsed="false">
      <c r="A51" s="149" t="n">
        <v>4</v>
      </c>
      <c r="B51" s="152" t="s">
        <v>421</v>
      </c>
      <c r="C51" s="11" t="n">
        <v>620000</v>
      </c>
      <c r="D51" s="12" t="s">
        <v>415</v>
      </c>
      <c r="E51" s="12" t="s">
        <v>422</v>
      </c>
      <c r="F51" s="121" t="n">
        <v>0.035</v>
      </c>
      <c r="G51" s="151" t="s">
        <v>93</v>
      </c>
      <c r="H51" s="66"/>
      <c r="I51" s="66"/>
      <c r="J51" s="123" t="n">
        <f aca="false">C51*F51/1000</f>
        <v>21.7</v>
      </c>
      <c r="K51" s="15"/>
      <c r="L51" s="6" t="s">
        <v>417</v>
      </c>
    </row>
    <row r="52" customFormat="false" ht="19.5" hidden="false" customHeight="true" outlineLevel="0" collapsed="false">
      <c r="A52" s="149" t="n">
        <v>5</v>
      </c>
      <c r="B52" s="150" t="s">
        <v>423</v>
      </c>
      <c r="C52" s="11" t="n">
        <v>28500</v>
      </c>
      <c r="D52" s="12" t="s">
        <v>424</v>
      </c>
      <c r="E52" s="12" t="s">
        <v>425</v>
      </c>
      <c r="F52" s="121" t="n">
        <v>20.8</v>
      </c>
      <c r="G52" s="151" t="s">
        <v>93</v>
      </c>
      <c r="H52" s="66"/>
      <c r="I52" s="66"/>
      <c r="J52" s="123" t="n">
        <f aca="false">C52*F52/1000</f>
        <v>592.8</v>
      </c>
      <c r="K52" s="15"/>
      <c r="L52" s="6" t="s">
        <v>417</v>
      </c>
    </row>
    <row r="53" customFormat="false" ht="19.5" hidden="false" customHeight="true" outlineLevel="0" collapsed="false">
      <c r="A53" s="149" t="n">
        <v>6</v>
      </c>
      <c r="B53" s="152" t="s">
        <v>426</v>
      </c>
      <c r="C53" s="11" t="n">
        <v>890000</v>
      </c>
      <c r="D53" s="12" t="s">
        <v>415</v>
      </c>
      <c r="E53" s="12" t="s">
        <v>427</v>
      </c>
      <c r="F53" s="121" t="n">
        <v>0.168</v>
      </c>
      <c r="G53" s="151" t="s">
        <v>93</v>
      </c>
      <c r="H53" s="66"/>
      <c r="I53" s="66"/>
      <c r="J53" s="123" t="n">
        <f aca="false">C53*F53/1000</f>
        <v>149.52</v>
      </c>
      <c r="K53" s="15"/>
      <c r="L53" s="6" t="s">
        <v>417</v>
      </c>
    </row>
    <row r="54" customFormat="false" ht="21.75" hidden="false" customHeight="true" outlineLevel="0" collapsed="false">
      <c r="A54" s="153"/>
      <c r="B54" s="154" t="s">
        <v>428</v>
      </c>
      <c r="C54" s="153"/>
      <c r="D54" s="153"/>
      <c r="E54" s="153"/>
      <c r="F54" s="153"/>
      <c r="G54" s="153"/>
      <c r="H54" s="153"/>
      <c r="I54" s="153"/>
      <c r="J54" s="155" t="n">
        <f aca="false">SUM(J48:J53)</f>
        <v>2336.17</v>
      </c>
      <c r="K54" s="153"/>
      <c r="L54" s="153"/>
    </row>
    <row r="56" customFormat="false" ht="21.75" hidden="false" customHeight="true" outlineLevel="0" collapsed="false">
      <c r="A56" s="156" t="s">
        <v>429</v>
      </c>
      <c r="B56" s="156"/>
      <c r="C56" s="156"/>
      <c r="D56" s="156"/>
      <c r="E56" s="156"/>
      <c r="F56" s="156"/>
      <c r="G56" s="156"/>
      <c r="H56" s="156"/>
      <c r="I56" s="156"/>
      <c r="J56" s="156"/>
      <c r="K56" s="156"/>
      <c r="L56" s="156"/>
    </row>
    <row r="57" customFormat="false" ht="27.75" hidden="false" customHeight="true" outlineLevel="0" collapsed="false">
      <c r="A57" s="157" t="s">
        <v>62</v>
      </c>
      <c r="B57" s="157" t="s">
        <v>430</v>
      </c>
      <c r="C57" s="157" t="s">
        <v>431</v>
      </c>
      <c r="D57" s="157" t="s">
        <v>432</v>
      </c>
      <c r="E57" s="157" t="s">
        <v>433</v>
      </c>
      <c r="F57" s="157" t="s">
        <v>434</v>
      </c>
      <c r="G57" s="157"/>
      <c r="H57" s="157"/>
      <c r="I57" s="157" t="s">
        <v>356</v>
      </c>
      <c r="J57" s="157" t="s">
        <v>397</v>
      </c>
      <c r="K57" s="157" t="s">
        <v>104</v>
      </c>
    </row>
    <row r="58" customFormat="false" ht="21.75" hidden="false" customHeight="true" outlineLevel="0" collapsed="false">
      <c r="A58" s="158" t="n">
        <v>1</v>
      </c>
      <c r="B58" s="159" t="s">
        <v>435</v>
      </c>
      <c r="C58" s="6" t="s">
        <v>436</v>
      </c>
      <c r="D58" s="6" t="s">
        <v>436</v>
      </c>
      <c r="E58" s="6" t="s">
        <v>436</v>
      </c>
      <c r="F58" s="6" t="s">
        <v>436</v>
      </c>
      <c r="G58" s="6" t="s">
        <v>436</v>
      </c>
      <c r="H58" s="6" t="s">
        <v>436</v>
      </c>
      <c r="I58" s="160" t="n">
        <v>357000</v>
      </c>
      <c r="J58" s="6" t="s">
        <v>362</v>
      </c>
      <c r="K58" s="6" t="s">
        <v>436</v>
      </c>
    </row>
    <row r="59" customFormat="false" ht="21.75" hidden="false" customHeight="true" outlineLevel="0" collapsed="false">
      <c r="A59" s="158" t="n">
        <v>2</v>
      </c>
      <c r="B59" s="161" t="s">
        <v>437</v>
      </c>
      <c r="C59" s="6" t="s">
        <v>436</v>
      </c>
      <c r="D59" s="6" t="s">
        <v>436</v>
      </c>
      <c r="E59" s="6" t="s">
        <v>436</v>
      </c>
      <c r="F59" s="6" t="s">
        <v>436</v>
      </c>
      <c r="G59" s="6" t="s">
        <v>436</v>
      </c>
      <c r="H59" s="6" t="s">
        <v>436</v>
      </c>
      <c r="I59" s="160" t="n">
        <v>0</v>
      </c>
      <c r="J59" s="6" t="s">
        <v>438</v>
      </c>
      <c r="K59" s="6" t="s">
        <v>436</v>
      </c>
    </row>
    <row r="60" customFormat="false" ht="21.75" hidden="false" customHeight="true" outlineLevel="0" collapsed="false">
      <c r="A60" s="158"/>
      <c r="B60" s="159" t="s">
        <v>439</v>
      </c>
      <c r="C60" s="6" t="s">
        <v>436</v>
      </c>
      <c r="D60" s="6" t="s">
        <v>436</v>
      </c>
      <c r="E60" s="6" t="s">
        <v>436</v>
      </c>
      <c r="F60" s="6" t="s">
        <v>436</v>
      </c>
      <c r="G60" s="6" t="s">
        <v>436</v>
      </c>
      <c r="H60" s="6" t="s">
        <v>436</v>
      </c>
      <c r="I60" s="160" t="n">
        <v>148000</v>
      </c>
      <c r="J60" s="6" t="s">
        <v>362</v>
      </c>
      <c r="K60" s="6"/>
    </row>
    <row r="61" customFormat="false" ht="21.75" hidden="false" customHeight="true" outlineLevel="0" collapsed="false">
      <c r="A61" s="158"/>
      <c r="B61" s="161" t="s">
        <v>440</v>
      </c>
      <c r="C61" s="6" t="s">
        <v>436</v>
      </c>
      <c r="D61" s="6" t="s">
        <v>436</v>
      </c>
      <c r="E61" s="6" t="s">
        <v>436</v>
      </c>
      <c r="F61" s="6" t="s">
        <v>436</v>
      </c>
      <c r="G61" s="6" t="s">
        <v>436</v>
      </c>
      <c r="H61" s="6" t="s">
        <v>436</v>
      </c>
      <c r="I61" s="160" t="n">
        <v>3200</v>
      </c>
      <c r="J61" s="6" t="s">
        <v>362</v>
      </c>
      <c r="K61" s="6"/>
    </row>
    <row r="62" customFormat="false" ht="21.75" hidden="false" customHeight="true" outlineLevel="0" collapsed="false">
      <c r="A62" s="158"/>
      <c r="B62" s="161" t="s">
        <v>441</v>
      </c>
      <c r="C62" s="6" t="s">
        <v>436</v>
      </c>
      <c r="D62" s="6" t="s">
        <v>436</v>
      </c>
      <c r="E62" s="6" t="s">
        <v>436</v>
      </c>
      <c r="F62" s="6" t="s">
        <v>436</v>
      </c>
      <c r="G62" s="6" t="s">
        <v>436</v>
      </c>
      <c r="H62" s="6" t="s">
        <v>436</v>
      </c>
      <c r="I62" s="160" t="n">
        <v>17025</v>
      </c>
      <c r="J62" s="6" t="s">
        <v>362</v>
      </c>
      <c r="K62" s="6"/>
    </row>
    <row r="63" customFormat="false" ht="21.75" hidden="false" customHeight="true" outlineLevel="0" collapsed="false">
      <c r="A63" s="158"/>
      <c r="B63" s="159" t="s">
        <v>442</v>
      </c>
      <c r="C63" s="6" t="s">
        <v>436</v>
      </c>
      <c r="D63" s="6" t="s">
        <v>436</v>
      </c>
      <c r="E63" s="6" t="s">
        <v>436</v>
      </c>
      <c r="F63" s="6" t="s">
        <v>436</v>
      </c>
      <c r="G63" s="6" t="s">
        <v>436</v>
      </c>
      <c r="H63" s="6" t="s">
        <v>436</v>
      </c>
      <c r="I63" s="160" t="n">
        <v>85000</v>
      </c>
      <c r="J63" s="6" t="s">
        <v>362</v>
      </c>
      <c r="K63" s="6"/>
    </row>
    <row r="64" customFormat="false" ht="21.75" hidden="false" customHeight="true" outlineLevel="0" collapsed="false">
      <c r="A64" s="158"/>
      <c r="B64" s="161" t="s">
        <v>443</v>
      </c>
      <c r="C64" s="6" t="s">
        <v>436</v>
      </c>
      <c r="D64" s="6" t="s">
        <v>436</v>
      </c>
      <c r="E64" s="6" t="s">
        <v>436</v>
      </c>
      <c r="F64" s="6" t="s">
        <v>436</v>
      </c>
      <c r="G64" s="6" t="s">
        <v>436</v>
      </c>
      <c r="H64" s="6" t="s">
        <v>436</v>
      </c>
      <c r="I64" s="160" t="n">
        <v>0</v>
      </c>
      <c r="J64" s="6" t="s">
        <v>24</v>
      </c>
      <c r="K64" s="6"/>
    </row>
    <row r="65" customFormat="false" ht="21.75" hidden="false" customHeight="true" outlineLevel="0" collapsed="false">
      <c r="A65" s="158"/>
      <c r="B65" s="159" t="s">
        <v>444</v>
      </c>
      <c r="C65" s="6" t="s">
        <v>436</v>
      </c>
      <c r="D65" s="6" t="s">
        <v>436</v>
      </c>
      <c r="E65" s="6" t="s">
        <v>436</v>
      </c>
      <c r="F65" s="6" t="s">
        <v>436</v>
      </c>
      <c r="G65" s="6" t="s">
        <v>436</v>
      </c>
      <c r="H65" s="6" t="s">
        <v>436</v>
      </c>
      <c r="I65" s="160" t="n">
        <v>4800</v>
      </c>
      <c r="J65" s="6" t="s">
        <v>362</v>
      </c>
      <c r="K65" s="6"/>
    </row>
    <row r="66" customFormat="false" ht="21.75" hidden="false" customHeight="true" outlineLevel="0" collapsed="false">
      <c r="A66" s="158"/>
      <c r="B66" s="161" t="s">
        <v>445</v>
      </c>
      <c r="C66" s="6" t="s">
        <v>436</v>
      </c>
      <c r="D66" s="6" t="s">
        <v>436</v>
      </c>
      <c r="E66" s="6" t="s">
        <v>436</v>
      </c>
      <c r="F66" s="6" t="s">
        <v>436</v>
      </c>
      <c r="G66" s="6" t="s">
        <v>436</v>
      </c>
      <c r="H66" s="6" t="s">
        <v>436</v>
      </c>
      <c r="I66" s="160" t="n">
        <v>12000</v>
      </c>
      <c r="J66" s="6" t="s">
        <v>362</v>
      </c>
      <c r="K66" s="6"/>
    </row>
    <row r="67" customFormat="false" ht="21.75" hidden="false" customHeight="true" outlineLevel="0" collapsed="false">
      <c r="A67" s="158" t="n">
        <v>5</v>
      </c>
      <c r="B67" s="6" t="s">
        <v>436</v>
      </c>
      <c r="C67" s="6" t="s">
        <v>436</v>
      </c>
      <c r="D67" s="6" t="s">
        <v>436</v>
      </c>
      <c r="E67" s="6" t="s">
        <v>436</v>
      </c>
      <c r="F67" s="6" t="s">
        <v>436</v>
      </c>
      <c r="G67" s="6" t="s">
        <v>436</v>
      </c>
      <c r="H67" s="6" t="s">
        <v>436</v>
      </c>
      <c r="I67" s="162" t="n">
        <f aca="false">IFERROR(IF(AND(ISNUMBER(E67),ISNUMBER(F67)),E67*F67/1000,0),0)</f>
        <v>0</v>
      </c>
      <c r="J67" s="6" t="s">
        <v>436</v>
      </c>
      <c r="K67" s="6" t="s">
        <v>436</v>
      </c>
    </row>
    <row r="68" customFormat="false" ht="21.75" hidden="false" customHeight="true" outlineLevel="0" collapsed="false">
      <c r="A68" s="163"/>
      <c r="B68" s="164" t="s">
        <v>446</v>
      </c>
      <c r="C68" s="163"/>
      <c r="D68" s="163"/>
      <c r="E68" s="163"/>
      <c r="F68" s="163"/>
      <c r="G68" s="163"/>
      <c r="H68" s="163"/>
      <c r="I68" s="165" t="n">
        <f aca="false">SUM(I58:I67)</f>
        <v>627025</v>
      </c>
      <c r="J68" s="163"/>
      <c r="K68" s="163"/>
    </row>
    <row r="70" customFormat="false" ht="27.75" hidden="false" customHeight="true" outlineLevel="0" collapsed="false">
      <c r="A70" s="166" t="s">
        <v>447</v>
      </c>
      <c r="B70" s="166"/>
      <c r="C70" s="166"/>
      <c r="D70" s="166"/>
      <c r="E70" s="166"/>
      <c r="F70" s="166"/>
      <c r="G70" s="166"/>
      <c r="H70" s="166"/>
      <c r="I70" s="166"/>
      <c r="J70" s="167" t="n">
        <f aca="false">J33+J42+J54+I68</f>
        <v>1091980.1302664</v>
      </c>
      <c r="K70" s="125"/>
      <c r="L70" s="125"/>
    </row>
  </sheetData>
  <mergeCells count="8">
    <mergeCell ref="A1:L1"/>
    <mergeCell ref="A2:L2"/>
    <mergeCell ref="A4:L4"/>
    <mergeCell ref="A23:L23"/>
    <mergeCell ref="A36:L36"/>
    <mergeCell ref="A46:L46"/>
    <mergeCell ref="A56:L56"/>
    <mergeCell ref="A70:I7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7C59"/>
    <pageSetUpPr fitToPage="false"/>
  </sheetPr>
  <dimension ref="A1:H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11" activePane="bottomLeft" state="frozen"/>
      <selection pane="topLeft" activeCell="A1" activeCellId="0" sqref="A1"/>
      <selection pane="bottomLeft" activeCell="D15" activeCellId="0" sqref="D15"/>
    </sheetView>
  </sheetViews>
  <sheetFormatPr defaultColWidth="8.66796875" defaultRowHeight="14.25" zeroHeight="false" outlineLevelRow="0" outlineLevelCol="0"/>
  <cols>
    <col collapsed="false" customWidth="true" hidden="false" outlineLevel="0" max="1" min="1" style="1" width="32"/>
    <col collapsed="false" customWidth="true" hidden="false" outlineLevel="0" max="2" min="2" style="1" width="40.56"/>
    <col collapsed="false" customWidth="true" hidden="false" outlineLevel="0" max="3" min="3" style="1" width="24.21"/>
    <col collapsed="false" customWidth="true" hidden="false" outlineLevel="0" max="4" min="4" style="1" width="21"/>
    <col collapsed="false" customWidth="true" hidden="false" outlineLevel="0" max="5" min="5" style="1" width="17.22"/>
    <col collapsed="false" customWidth="true" hidden="false" outlineLevel="0" max="6" min="6" style="1" width="20.66"/>
    <col collapsed="false" customWidth="true" hidden="false" outlineLevel="0" max="7" min="7" style="1" width="25.56"/>
    <col collapsed="false" customWidth="true" hidden="false" outlineLevel="0" max="8" min="8" style="1" width="28"/>
  </cols>
  <sheetData>
    <row r="1" customFormat="false" ht="48" hidden="false" customHeight="true" outlineLevel="0" collapsed="false">
      <c r="A1" s="2" t="s">
        <v>448</v>
      </c>
      <c r="B1" s="2"/>
      <c r="C1" s="2"/>
      <c r="D1" s="2"/>
      <c r="E1" s="2"/>
      <c r="F1" s="2"/>
      <c r="G1" s="2"/>
      <c r="H1" s="2"/>
    </row>
    <row r="2" customFormat="false" ht="19.5" hidden="false" customHeight="true" outlineLevel="0" collapsed="false">
      <c r="A2" s="3" t="s">
        <v>449</v>
      </c>
      <c r="B2" s="3"/>
      <c r="C2" s="3"/>
      <c r="D2" s="3"/>
      <c r="E2" s="3"/>
      <c r="F2" s="3"/>
      <c r="G2" s="3"/>
      <c r="H2" s="3"/>
    </row>
    <row r="4" customFormat="false" ht="21.75" hidden="false" customHeight="true" outlineLevel="0" collapsed="false">
      <c r="A4" s="168" t="s">
        <v>450</v>
      </c>
      <c r="B4" s="168"/>
      <c r="C4" s="168"/>
      <c r="D4" s="168"/>
      <c r="E4" s="168"/>
      <c r="F4" s="168"/>
      <c r="G4" s="168"/>
      <c r="H4" s="168"/>
    </row>
    <row r="5" customFormat="false" ht="24" hidden="false" customHeight="true" outlineLevel="0" collapsed="false">
      <c r="A5" s="19" t="s">
        <v>451</v>
      </c>
      <c r="B5" s="19" t="s">
        <v>431</v>
      </c>
      <c r="C5" s="19" t="s">
        <v>356</v>
      </c>
      <c r="D5" s="19" t="s">
        <v>452</v>
      </c>
      <c r="E5" s="19" t="s">
        <v>453</v>
      </c>
      <c r="F5" s="19" t="s">
        <v>454</v>
      </c>
      <c r="G5" s="19" t="s">
        <v>455</v>
      </c>
      <c r="H5" s="19" t="s">
        <v>104</v>
      </c>
    </row>
    <row r="6" customFormat="false" ht="21.75" hidden="false" customHeight="true" outlineLevel="0" collapsed="false">
      <c r="A6" s="10" t="s">
        <v>456</v>
      </c>
      <c r="B6" s="169" t="s">
        <v>457</v>
      </c>
      <c r="C6" s="170" t="n">
        <f aca="false">'Scope 1'!K37</f>
        <v>3345538.47</v>
      </c>
      <c r="D6" s="171" t="n">
        <f aca="false">IFERROR(C6/C11,0)</f>
        <v>0.753332259502722</v>
      </c>
      <c r="E6" s="172" t="n">
        <f aca="false">IFERROR((C6-F6)/ABS(F6),0)</f>
        <v>22.079045736755</v>
      </c>
      <c r="F6" s="173" t="n">
        <f aca="false">144960</f>
        <v>144960</v>
      </c>
      <c r="G6" s="51" t="n">
        <v>430000</v>
      </c>
      <c r="H6" s="6" t="s">
        <v>458</v>
      </c>
    </row>
    <row r="7" customFormat="false" ht="21.75" hidden="false" customHeight="true" outlineLevel="0" collapsed="false">
      <c r="A7" s="89" t="s">
        <v>459</v>
      </c>
      <c r="B7" s="174" t="s">
        <v>460</v>
      </c>
      <c r="C7" s="175" t="n">
        <f aca="false">'Scope 2'!I33</f>
        <v>3468</v>
      </c>
      <c r="D7" s="176" t="n">
        <f aca="false">IFERROR(C7/C11,0)</f>
        <v>0.000780907557746733</v>
      </c>
      <c r="E7" s="172" t="n">
        <f aca="false">IFERROR((C7-F7)/ABS(F7),0)</f>
        <v>-0.991178580331388</v>
      </c>
      <c r="F7" s="177" t="n">
        <f aca="false">393134</f>
        <v>393134</v>
      </c>
      <c r="G7" s="51" t="n">
        <v>15000</v>
      </c>
      <c r="H7" s="6" t="s">
        <v>458</v>
      </c>
    </row>
    <row r="8" customFormat="false" ht="21.75" hidden="false" customHeight="true" outlineLevel="0" collapsed="false">
      <c r="A8" s="178" t="s">
        <v>461</v>
      </c>
      <c r="B8" s="179" t="s">
        <v>462</v>
      </c>
      <c r="C8" s="180" t="n">
        <f aca="false">'Scope 2'!H32</f>
        <v>68552.8</v>
      </c>
      <c r="D8" s="181" t="s">
        <v>463</v>
      </c>
      <c r="E8" s="172" t="n">
        <f aca="false">IFERROR((C8-F8)/ABS(F8),0)</f>
        <v>-0.99151301476477</v>
      </c>
      <c r="F8" s="173" t="n">
        <f aca="false">8077403</f>
        <v>8077403</v>
      </c>
      <c r="G8" s="51" t="s">
        <v>464</v>
      </c>
      <c r="H8" s="6" t="s">
        <v>458</v>
      </c>
    </row>
    <row r="9" customFormat="false" ht="21.75" hidden="false" customHeight="true" outlineLevel="0" collapsed="false">
      <c r="A9" s="126" t="s">
        <v>465</v>
      </c>
      <c r="B9" s="182" t="s">
        <v>466</v>
      </c>
      <c r="C9" s="183" t="n">
        <f aca="false">'Scope 3'!J70</f>
        <v>1091980.1302664</v>
      </c>
      <c r="D9" s="184" t="n">
        <f aca="false">IFERROR(C9/C11,0)</f>
        <v>0.245886832939531</v>
      </c>
      <c r="E9" s="172" t="n">
        <f aca="false">IFERROR((C9-F9)/ABS(F9),0)</f>
        <v>-0.933403663458779</v>
      </c>
      <c r="F9" s="173" t="n">
        <v>16397000</v>
      </c>
      <c r="G9" s="51" t="n">
        <v>1100000</v>
      </c>
      <c r="H9" s="6" t="s">
        <v>458</v>
      </c>
    </row>
    <row r="10" customFormat="false" ht="7.5" hidden="false" customHeight="true" outlineLevel="0" collapsed="false"/>
    <row r="11" customFormat="false" ht="24" hidden="false" customHeight="true" outlineLevel="0" collapsed="false">
      <c r="A11" s="185" t="s">
        <v>467</v>
      </c>
      <c r="B11" s="185"/>
      <c r="C11" s="186" t="n">
        <f aca="false">C6+C7+C9</f>
        <v>4440986.6002664</v>
      </c>
      <c r="D11" s="187"/>
      <c r="E11" s="187"/>
      <c r="F11" s="186" t="n">
        <f aca="false">F6+F7+F9</f>
        <v>16935094</v>
      </c>
      <c r="G11" s="187"/>
      <c r="H11" s="187"/>
    </row>
    <row r="12" customFormat="false" ht="21.75" hidden="false" customHeight="true" outlineLevel="0" collapsed="false">
      <c r="A12" s="188" t="s">
        <v>468</v>
      </c>
      <c r="B12" s="188"/>
      <c r="C12" s="189" t="n">
        <f aca="false">C6+C7</f>
        <v>3349006.47</v>
      </c>
      <c r="D12" s="190"/>
      <c r="E12" s="190"/>
      <c r="F12" s="189" t="n">
        <f aca="false">F6+F7</f>
        <v>538094</v>
      </c>
      <c r="G12" s="190"/>
      <c r="H12" s="190"/>
    </row>
    <row r="14" customFormat="false" ht="21.75" hidden="false" customHeight="true" outlineLevel="0" collapsed="false">
      <c r="A14" s="4" t="s">
        <v>469</v>
      </c>
      <c r="B14" s="4"/>
      <c r="C14" s="4"/>
      <c r="D14" s="4"/>
      <c r="E14" s="4"/>
      <c r="F14" s="4"/>
      <c r="G14" s="4"/>
      <c r="H14" s="4"/>
    </row>
    <row r="15" customFormat="false" ht="27.75" hidden="false" customHeight="true" outlineLevel="0" collapsed="false">
      <c r="A15" s="191" t="s">
        <v>470</v>
      </c>
      <c r="B15" s="191" t="s">
        <v>471</v>
      </c>
      <c r="C15" s="191" t="s">
        <v>472</v>
      </c>
      <c r="D15" s="191" t="s">
        <v>473</v>
      </c>
      <c r="E15" s="191" t="s">
        <v>474</v>
      </c>
      <c r="F15" s="191" t="s">
        <v>475</v>
      </c>
      <c r="G15" s="191" t="s">
        <v>476</v>
      </c>
      <c r="H15" s="191" t="s">
        <v>64</v>
      </c>
    </row>
    <row r="16" customFormat="false" ht="21.75" hidden="false" customHeight="true" outlineLevel="0" collapsed="false">
      <c r="A16" s="5" t="s">
        <v>477</v>
      </c>
      <c r="B16" s="192" t="s">
        <v>478</v>
      </c>
      <c r="C16" s="193" t="n">
        <f aca="false">IFERROR(C11/Assumptions!B15,0)</f>
        <v>1153.50301305621</v>
      </c>
      <c r="D16" s="51" t="n">
        <f aca="false">F11/211915</f>
        <v>79.9145600830522</v>
      </c>
      <c r="E16" s="194" t="n">
        <f aca="false">IFERROR((C16-D16)/ABS(D16),0)</f>
        <v>13.4342033774248</v>
      </c>
      <c r="F16" s="51" t="s">
        <v>479</v>
      </c>
      <c r="G16" s="194" t="n">
        <f aca="false">IFERROR((C16-F16)/ABS(F16),0)</f>
        <v>0</v>
      </c>
      <c r="H16" s="151" t="s">
        <v>480</v>
      </c>
    </row>
    <row r="17" customFormat="false" ht="21.75" hidden="false" customHeight="true" outlineLevel="0" collapsed="false">
      <c r="A17" s="8" t="s">
        <v>481</v>
      </c>
      <c r="B17" s="195" t="s">
        <v>482</v>
      </c>
      <c r="C17" s="193" t="n">
        <f aca="false">IFERROR(C11/Assumptions!B16,0)</f>
        <v>312.745535230028</v>
      </c>
      <c r="D17" s="51" t="n">
        <f aca="false">F11/221000</f>
        <v>76.6293846153846</v>
      </c>
      <c r="E17" s="196" t="n">
        <f aca="false">IFERROR((C17-D17)/ABS(D17),0)</f>
        <v>3.08127426312699</v>
      </c>
      <c r="F17" s="51" t="s">
        <v>479</v>
      </c>
      <c r="G17" s="196" t="n">
        <f aca="false">IFERROR((C17-F17)/ABS(F17),0)</f>
        <v>0</v>
      </c>
      <c r="H17" s="151" t="s">
        <v>483</v>
      </c>
    </row>
    <row r="18" customFormat="false" ht="21.75" hidden="false" customHeight="true" outlineLevel="0" collapsed="false">
      <c r="A18" s="5" t="s">
        <v>484</v>
      </c>
      <c r="B18" s="192" t="s">
        <v>485</v>
      </c>
      <c r="C18" s="193" t="n">
        <f aca="false">IFERROR(C11/Assumptions!B17,0)</f>
        <v>0</v>
      </c>
      <c r="D18" s="51" t="n">
        <v>0</v>
      </c>
      <c r="E18" s="194" t="n">
        <f aca="false">IFERROR((C18-D18)/ABS(D18),0)</f>
        <v>0</v>
      </c>
      <c r="F18" s="51" t="s">
        <v>479</v>
      </c>
      <c r="G18" s="194" t="n">
        <f aca="false">IFERROR((C18-F18)/ABS(F18),0)</f>
        <v>0</v>
      </c>
      <c r="H18" s="151" t="s">
        <v>486</v>
      </c>
    </row>
    <row r="19" customFormat="false" ht="21.75" hidden="false" customHeight="true" outlineLevel="0" collapsed="false">
      <c r="A19" s="8" t="s">
        <v>487</v>
      </c>
      <c r="B19" s="195" t="s">
        <v>488</v>
      </c>
      <c r="C19" s="193" t="n">
        <f aca="false">IFERROR('Scope 1'!K37/Assumptions!B15,0)</f>
        <v>868.971031168831</v>
      </c>
      <c r="D19" s="51" t="n">
        <f aca="false">'Trend Analysis'!C7/211915</f>
        <v>0.673855083406083</v>
      </c>
      <c r="E19" s="196" t="n">
        <f aca="false">IFERROR((C19-D19)/ABS(D19),0)</f>
        <v>1288.55179320828</v>
      </c>
      <c r="F19" s="51" t="s">
        <v>479</v>
      </c>
      <c r="G19" s="196" t="n">
        <f aca="false">IFERROR((C19-F19)/ABS(F19),0)</f>
        <v>0</v>
      </c>
      <c r="H19" s="151" t="s">
        <v>480</v>
      </c>
    </row>
    <row r="20" customFormat="false" ht="21.75" hidden="false" customHeight="true" outlineLevel="0" collapsed="false">
      <c r="A20" s="5" t="s">
        <v>489</v>
      </c>
      <c r="B20" s="192" t="s">
        <v>490</v>
      </c>
      <c r="C20" s="193" t="n">
        <f aca="false">IFERROR('Scope 2'!I33/Assumptions!B15,0)</f>
        <v>0.900779220779221</v>
      </c>
      <c r="D20" s="51" t="n">
        <f aca="false">'Reduction Trajectory'!F19/211915</f>
        <v>0.181204728310879</v>
      </c>
      <c r="E20" s="194" t="n">
        <f aca="false">IFERROR((C20-D20)/ABS(D20),0)</f>
        <v>3.97105803571429</v>
      </c>
      <c r="F20" s="51" t="s">
        <v>479</v>
      </c>
      <c r="G20" s="194" t="n">
        <f aca="false">IFERROR((C20-F20)/ABS(F20),0)</f>
        <v>0</v>
      </c>
      <c r="H20" s="151" t="s">
        <v>480</v>
      </c>
    </row>
    <row r="21" customFormat="false" ht="21.75" hidden="false" customHeight="true" outlineLevel="0" collapsed="false">
      <c r="A21" s="8" t="s">
        <v>491</v>
      </c>
      <c r="B21" s="195" t="s">
        <v>492</v>
      </c>
      <c r="C21" s="193" t="n">
        <f aca="false">IFERROR('Scope 3'!J70/Assumptions!B15,0)</f>
        <v>283.631202666597</v>
      </c>
      <c r="D21" s="51" t="n">
        <f aca="false">'Reduction Trajectory'!F21/211915</f>
        <v>9.15461387820588</v>
      </c>
      <c r="E21" s="196" t="n">
        <f aca="false">IFERROR((C21-D21)/ABS(D21),0)</f>
        <v>29.9823228418</v>
      </c>
      <c r="F21" s="51" t="s">
        <v>479</v>
      </c>
      <c r="G21" s="196" t="n">
        <f aca="false">IFERROR((C21-F21)/ABS(F21),0)</f>
        <v>0</v>
      </c>
      <c r="H21" s="151" t="s">
        <v>480</v>
      </c>
    </row>
    <row r="22" customFormat="false" ht="21.75" hidden="false" customHeight="true" outlineLevel="0" collapsed="false">
      <c r="A22" s="5" t="s">
        <v>493</v>
      </c>
      <c r="B22" s="192" t="s">
        <v>494</v>
      </c>
      <c r="C22" s="193" t="n">
        <f aca="false">'Scope 2'!F23/'Scope 2'!C23</f>
        <v>0.814873417721519</v>
      </c>
      <c r="D22" s="51" t="n">
        <f aca="false">23567502/24007868</f>
        <v>0.981657429972541</v>
      </c>
      <c r="E22" s="194" t="n">
        <f aca="false">IFERROR((C22-D22)/ABS(D22),0)</f>
        <v>-0.169900422651196</v>
      </c>
      <c r="F22" s="51" t="s">
        <v>479</v>
      </c>
      <c r="G22" s="194" t="n">
        <f aca="false">IFERROR((C22-F22)/ABS(F22),0)</f>
        <v>0</v>
      </c>
      <c r="H22" s="151" t="s">
        <v>495</v>
      </c>
    </row>
    <row r="24" customFormat="false" ht="21.75" hidden="false" customHeight="true" outlineLevel="0" collapsed="false">
      <c r="A24" s="168" t="s">
        <v>496</v>
      </c>
      <c r="B24" s="168"/>
      <c r="C24" s="168"/>
      <c r="D24" s="168"/>
      <c r="E24" s="168"/>
      <c r="F24" s="168"/>
      <c r="G24" s="168"/>
      <c r="H24" s="168"/>
    </row>
    <row r="25" customFormat="false" ht="21.75" hidden="false" customHeight="true" outlineLevel="0" collapsed="false">
      <c r="A25" s="19" t="s">
        <v>451</v>
      </c>
      <c r="B25" s="19" t="s">
        <v>356</v>
      </c>
      <c r="C25" s="19" t="s">
        <v>497</v>
      </c>
      <c r="D25" s="19" t="s">
        <v>498</v>
      </c>
      <c r="E25" s="19" t="s">
        <v>499</v>
      </c>
      <c r="F25" s="19"/>
      <c r="G25" s="19"/>
      <c r="H25" s="19"/>
    </row>
    <row r="26" customFormat="false" ht="21.75" hidden="false" customHeight="true" outlineLevel="0" collapsed="false">
      <c r="A26" s="10" t="s">
        <v>456</v>
      </c>
      <c r="B26" s="197" t="n">
        <f aca="false">'Scope 1'!K37</f>
        <v>3345538.47</v>
      </c>
      <c r="C26" s="171" t="n">
        <f aca="false">IFERROR(B26/B29,0)</f>
        <v>0.753332259502722</v>
      </c>
      <c r="D26" s="169" t="s">
        <v>500</v>
      </c>
      <c r="E26" s="169"/>
      <c r="F26" s="169"/>
      <c r="G26" s="169"/>
      <c r="H26" s="169"/>
    </row>
    <row r="27" customFormat="false" ht="21.75" hidden="false" customHeight="true" outlineLevel="0" collapsed="false">
      <c r="A27" s="89" t="s">
        <v>459</v>
      </c>
      <c r="B27" s="198" t="n">
        <f aca="false">'Scope 2'!I33</f>
        <v>3468</v>
      </c>
      <c r="C27" s="176" t="n">
        <f aca="false">IFERROR(B27/B29,0)</f>
        <v>0.000780907557746733</v>
      </c>
      <c r="D27" s="174" t="s">
        <v>501</v>
      </c>
      <c r="E27" s="174"/>
      <c r="F27" s="174"/>
      <c r="G27" s="174"/>
      <c r="H27" s="174"/>
    </row>
    <row r="28" customFormat="false" ht="21.75" hidden="false" customHeight="true" outlineLevel="0" collapsed="false">
      <c r="A28" s="126" t="s">
        <v>465</v>
      </c>
      <c r="B28" s="199" t="n">
        <f aca="false">'Scope 3'!J70</f>
        <v>1091980.1302664</v>
      </c>
      <c r="C28" s="184" t="n">
        <f aca="false">IFERROR(B28/B29,0)</f>
        <v>0.245886832939531</v>
      </c>
      <c r="D28" s="182" t="s">
        <v>502</v>
      </c>
      <c r="E28" s="182"/>
      <c r="F28" s="182"/>
      <c r="G28" s="182"/>
      <c r="H28" s="182"/>
    </row>
    <row r="29" customFormat="false" ht="24" hidden="false" customHeight="true" outlineLevel="0" collapsed="false">
      <c r="A29" s="200" t="s">
        <v>503</v>
      </c>
      <c r="B29" s="186" t="n">
        <f aca="false">B26+B27+B28</f>
        <v>4440986.6002664</v>
      </c>
      <c r="C29" s="201" t="s">
        <v>504</v>
      </c>
      <c r="D29" s="187"/>
      <c r="E29" s="187"/>
      <c r="F29" s="187"/>
      <c r="G29" s="187"/>
      <c r="H29" s="187"/>
    </row>
    <row r="33" customFormat="false" ht="14.25" hidden="false" customHeight="true" outlineLevel="0" collapsed="false">
      <c r="C33" s="202"/>
    </row>
    <row r="34" customFormat="false" ht="14.25" hidden="false" customHeight="true" outlineLevel="0" collapsed="false">
      <c r="C34" s="202"/>
    </row>
    <row r="35" customFormat="false" ht="14.25" hidden="false" customHeight="true" outlineLevel="0" collapsed="false">
      <c r="C35" s="202"/>
    </row>
  </sheetData>
  <mergeCells count="10">
    <mergeCell ref="A1:H1"/>
    <mergeCell ref="A2:H2"/>
    <mergeCell ref="A4:H4"/>
    <mergeCell ref="A11:B11"/>
    <mergeCell ref="A12:B12"/>
    <mergeCell ref="A14:H14"/>
    <mergeCell ref="A24:H24"/>
    <mergeCell ref="D26:H26"/>
    <mergeCell ref="D27:H27"/>
    <mergeCell ref="D28:H28"/>
  </mergeCells>
  <conditionalFormatting sqref="E6:E12">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E16:E22">
    <cfRule type="cellIs" priority="4" operator="greaterThan" aboveAverage="0" equalAverage="0" bottom="0" percent="0" rank="0" text="" dxfId="0">
      <formula>0</formula>
    </cfRule>
    <cfRule type="cellIs" priority="5" operator="lessThan" aboveAverage="0" equalAverage="0" bottom="0" percent="0" rank="0" text="" dxfId="1">
      <formula>0</formula>
    </cfRule>
  </conditionalFormatting>
  <conditionalFormatting sqref="G16:G22">
    <cfRule type="cellIs" priority="6" operator="greaterThan" aboveAverage="0" equalAverage="0" bottom="0" percent="0" rank="0" text="" dxfId="0">
      <formula>0</formula>
    </cfRule>
    <cfRule type="cellIs" priority="7" operator="less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3D2B"/>
    <pageSetUpPr fitToPage="false"/>
  </sheetPr>
  <dimension ref="A1:K23"/>
  <sheetViews>
    <sheetView showFormulas="false" showGridLines="false" showRowColHeaders="true" showZeros="true" rightToLeft="false" tabSelected="false" showOutlineSymbols="true" defaultGridColor="true" view="normal" topLeftCell="A1" colorId="64" zoomScale="87" zoomScaleNormal="87"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G18" activeCellId="0" sqref="G18"/>
    </sheetView>
  </sheetViews>
  <sheetFormatPr defaultColWidth="8.66796875" defaultRowHeight="14.25" zeroHeight="false" outlineLevelRow="0" outlineLevelCol="0"/>
  <cols>
    <col collapsed="false" customWidth="true" hidden="false" outlineLevel="0" max="1" min="1" style="1" width="37.75"/>
    <col collapsed="false" customWidth="true" hidden="false" outlineLevel="0" max="2" min="2" style="1" width="13.75"/>
    <col collapsed="false" customWidth="true" hidden="false" outlineLevel="0" max="6" min="3" style="1" width="18"/>
    <col collapsed="false" customWidth="true" hidden="false" outlineLevel="0" max="7" min="7" style="1" width="22.88"/>
    <col collapsed="false" customWidth="true" hidden="false" outlineLevel="0" max="10" min="8" style="1" width="18"/>
    <col collapsed="false" customWidth="true" hidden="false" outlineLevel="0" max="11" min="11" style="1" width="26"/>
  </cols>
  <sheetData>
    <row r="1" customFormat="false" ht="48" hidden="false" customHeight="true" outlineLevel="0" collapsed="false">
      <c r="A1" s="2" t="s">
        <v>505</v>
      </c>
      <c r="B1" s="2"/>
      <c r="C1" s="2"/>
      <c r="D1" s="2"/>
      <c r="E1" s="2"/>
      <c r="F1" s="2"/>
      <c r="G1" s="2"/>
      <c r="H1" s="2"/>
      <c r="I1" s="2"/>
      <c r="J1" s="2"/>
      <c r="K1" s="2"/>
    </row>
    <row r="2" customFormat="false" ht="19.5" hidden="false" customHeight="true" outlineLevel="0" collapsed="false">
      <c r="A2" s="3" t="s">
        <v>506</v>
      </c>
      <c r="B2" s="3"/>
      <c r="C2" s="3"/>
      <c r="D2" s="3"/>
      <c r="E2" s="3"/>
      <c r="F2" s="3"/>
      <c r="G2" s="3"/>
      <c r="H2" s="3"/>
      <c r="I2" s="3"/>
      <c r="J2" s="3"/>
      <c r="K2" s="3"/>
    </row>
    <row r="4" customFormat="false" ht="21.75" hidden="false" customHeight="true" outlineLevel="0" collapsed="false">
      <c r="A4" s="168" t="s">
        <v>507</v>
      </c>
      <c r="B4" s="168"/>
      <c r="C4" s="168"/>
      <c r="D4" s="168"/>
      <c r="E4" s="168"/>
      <c r="F4" s="168"/>
      <c r="G4" s="168"/>
      <c r="H4" s="168"/>
      <c r="I4" s="168"/>
    </row>
    <row r="5" customFormat="false" ht="27.75" hidden="false" customHeight="true" outlineLevel="0" collapsed="false">
      <c r="A5" s="19" t="s">
        <v>508</v>
      </c>
      <c r="B5" s="19" t="s">
        <v>509</v>
      </c>
      <c r="C5" s="19" t="s">
        <v>510</v>
      </c>
      <c r="D5" s="19" t="s">
        <v>511</v>
      </c>
      <c r="E5" s="19" t="s">
        <v>512</v>
      </c>
      <c r="F5" s="19" t="s">
        <v>513</v>
      </c>
      <c r="G5" s="19" t="s">
        <v>514</v>
      </c>
      <c r="H5" s="19" t="s">
        <v>515</v>
      </c>
    </row>
    <row r="6" customFormat="false" ht="19.5" hidden="false" customHeight="true" outlineLevel="0" collapsed="false">
      <c r="A6" s="203" t="s">
        <v>516</v>
      </c>
      <c r="B6" s="204" t="n">
        <v>2022</v>
      </c>
      <c r="C6" s="204" t="n">
        <v>2023</v>
      </c>
      <c r="D6" s="205" t="n">
        <v>2024</v>
      </c>
      <c r="E6" s="66"/>
      <c r="F6" s="66"/>
      <c r="G6" s="66"/>
      <c r="H6" s="66"/>
    </row>
    <row r="7" customFormat="false" ht="21.75" hidden="false" customHeight="true" outlineLevel="0" collapsed="false">
      <c r="A7" s="206" t="s">
        <v>517</v>
      </c>
      <c r="B7" s="170" t="n">
        <f aca="false">'Reduction Trajectory'!E17</f>
        <v>118200</v>
      </c>
      <c r="C7" s="170" t="n">
        <f aca="false">'Reduction Trajectory'!F17</f>
        <v>142800</v>
      </c>
      <c r="D7" s="170" t="n">
        <f aca="false">'Scope 1'!K37</f>
        <v>3345538.47</v>
      </c>
      <c r="E7" s="171" t="n">
        <f aca="false">IFERROR((C7-B7)/ABS(B7),0)</f>
        <v>0.208121827411168</v>
      </c>
      <c r="F7" s="171" t="n">
        <f aca="false">IFERROR((D7-C7)/ABS(C7),0)</f>
        <v>22.4281405462185</v>
      </c>
      <c r="G7" s="171" t="n">
        <f aca="false">IFERROR((D7-B7)/ABS(B7),0)</f>
        <v>27.3040479695431</v>
      </c>
      <c r="H7" s="6" t="s">
        <v>518</v>
      </c>
    </row>
    <row r="8" customFormat="false" ht="21.75" hidden="false" customHeight="true" outlineLevel="0" collapsed="false">
      <c r="A8" s="207" t="s">
        <v>519</v>
      </c>
      <c r="B8" s="175" t="n">
        <f aca="false">'Reduction Trajectory'!E18</f>
        <v>98600</v>
      </c>
      <c r="C8" s="175" t="n">
        <f aca="false">'Reduction Trajectory'!F18</f>
        <v>102400</v>
      </c>
      <c r="D8" s="175" t="n">
        <f aca="false">'Scope 2'!H32</f>
        <v>68552.8</v>
      </c>
      <c r="E8" s="176" t="n">
        <f aca="false">IFERROR((C8-B8)/ABS(B8),0)</f>
        <v>0.0385395537525355</v>
      </c>
      <c r="F8" s="176" t="n">
        <f aca="false">IFERROR((D8-C8)/ABS(C8),0)</f>
        <v>-0.3305390625</v>
      </c>
      <c r="G8" s="176" t="n">
        <f aca="false">IFERROR((D8-B8)/ABS(B8),0)</f>
        <v>-0.304738336713996</v>
      </c>
      <c r="H8" s="6" t="s">
        <v>518</v>
      </c>
    </row>
    <row r="9" customFormat="false" ht="21.75" hidden="false" customHeight="true" outlineLevel="0" collapsed="false">
      <c r="A9" s="208" t="s">
        <v>520</v>
      </c>
      <c r="B9" s="180" t="n">
        <f aca="false">'Reduction Trajectory'!E19</f>
        <v>62800</v>
      </c>
      <c r="C9" s="180" t="n">
        <f aca="false">'Reduction Trajectory'!F19</f>
        <v>38400</v>
      </c>
      <c r="D9" s="180" t="n">
        <f aca="false">'Scope 2'!I33</f>
        <v>3468</v>
      </c>
      <c r="E9" s="209" t="n">
        <f aca="false">IFERROR((C9-B9)/ABS(B9),0)</f>
        <v>-0.388535031847134</v>
      </c>
      <c r="F9" s="209" t="n">
        <f aca="false">IFERROR((D9-C9)/ABS(C9),0)</f>
        <v>-0.9096875</v>
      </c>
      <c r="G9" s="209" t="n">
        <f aca="false">IFERROR((D9-B9)/ABS(B9),0)</f>
        <v>-0.944777070063694</v>
      </c>
      <c r="H9" s="6" t="s">
        <v>518</v>
      </c>
    </row>
    <row r="10" customFormat="false" ht="21.75" hidden="false" customHeight="true" outlineLevel="0" collapsed="false">
      <c r="A10" s="210" t="s">
        <v>521</v>
      </c>
      <c r="B10" s="183" t="n">
        <f aca="false">'Reduction Trajectory'!E21</f>
        <v>1780000</v>
      </c>
      <c r="C10" s="183" t="n">
        <f aca="false">'Reduction Trajectory'!F21</f>
        <v>1940000</v>
      </c>
      <c r="D10" s="183" t="n">
        <f aca="false">'Scope 3'!J70</f>
        <v>1091980.1302664</v>
      </c>
      <c r="E10" s="184" t="n">
        <f aca="false">IFERROR((C10-B10)/ABS(B10),0)</f>
        <v>0.0898876404494382</v>
      </c>
      <c r="F10" s="184" t="n">
        <f aca="false">IFERROR((D10-C10)/ABS(C10),0)</f>
        <v>-0.437123644192577</v>
      </c>
      <c r="G10" s="184" t="n">
        <f aca="false">IFERROR((D10-B10)/ABS(B10),0)</f>
        <v>-0.38652801670427</v>
      </c>
      <c r="H10" s="6" t="s">
        <v>518</v>
      </c>
    </row>
    <row r="11" customFormat="false" ht="21.75" hidden="false" customHeight="true" outlineLevel="0" collapsed="false">
      <c r="A11" s="211" t="s">
        <v>522</v>
      </c>
      <c r="B11" s="212" t="n">
        <f aca="false">'Reduction Trajectory'!E22</f>
        <v>1961000</v>
      </c>
      <c r="C11" s="212" t="n">
        <f aca="false">'Reduction Trajectory'!F22</f>
        <v>2121600</v>
      </c>
      <c r="D11" s="212" t="n">
        <f aca="false">'Scope 1'!K37+'Scope 2'!I33+'Scope 3'!J70</f>
        <v>4440986.6002664</v>
      </c>
      <c r="E11" s="196" t="n">
        <f aca="false">IFERROR((C11-B11)/ABS(B11),0)</f>
        <v>0.0818969913309536</v>
      </c>
      <c r="F11" s="196" t="n">
        <f aca="false">IFERROR((D11-C11)/ABS(C11),0)</f>
        <v>1.09322520751621</v>
      </c>
      <c r="G11" s="196" t="n">
        <f aca="false">IFERROR((D11-B11)/ABS(B11),0)</f>
        <v>1.2646540541899</v>
      </c>
      <c r="H11" s="6" t="s">
        <v>518</v>
      </c>
    </row>
    <row r="12" customFormat="false" ht="21.75" hidden="false" customHeight="true" outlineLevel="0" collapsed="false">
      <c r="A12" s="213" t="s">
        <v>523</v>
      </c>
      <c r="B12" s="51" t="n">
        <f aca="false">B11/Assumptions!B35</f>
        <v>610.903426791277</v>
      </c>
      <c r="C12" s="51" t="n">
        <f aca="false">C11/Assumptions!B34</f>
        <v>602.727272727273</v>
      </c>
      <c r="D12" s="212" t="n">
        <f aca="false">IFERROR(('Scope 1'!K37+'Scope 2'!I33+'Scope 3'!J70)/Assumptions!B15,0)</f>
        <v>1153.50301305621</v>
      </c>
      <c r="E12" s="196" t="n">
        <f aca="false">IFERROR((C12-B12)/ABS(B12),0)</f>
        <v>-0.0133837096101247</v>
      </c>
      <c r="F12" s="196" t="n">
        <f aca="false">IFERROR((D12-C12)/ABS(C12),0)</f>
        <v>0.913805904014824</v>
      </c>
      <c r="G12" s="196" t="n">
        <f aca="false">IFERROR((D12-B12)/ABS(B12),0)</f>
        <v>0.888192081545348</v>
      </c>
      <c r="H12" s="6" t="s">
        <v>518</v>
      </c>
    </row>
    <row r="13" customFormat="false" ht="21.75" hidden="false" customHeight="true" outlineLevel="0" collapsed="false">
      <c r="A13" s="213" t="s">
        <v>524</v>
      </c>
      <c r="B13" s="51" t="n">
        <f aca="false">B11/Assumptions!C35</f>
        <v>153.203125</v>
      </c>
      <c r="C13" s="51" t="n">
        <f aca="false">C11/Assumptions!C34</f>
        <v>156</v>
      </c>
      <c r="D13" s="212" t="n">
        <f aca="false">IFERROR(('Scope 1'!K37+'Scope 2'!I33+'Scope 3'!J70)/Assumptions!B16,0)</f>
        <v>312.745535230028</v>
      </c>
      <c r="E13" s="196" t="n">
        <f aca="false">IFERROR((C13-B13)/ABS(B13),0)</f>
        <v>0.0182559918408975</v>
      </c>
      <c r="F13" s="196" t="n">
        <f aca="false">IFERROR((D13-C13)/ABS(C13),0)</f>
        <v>1.00477907198736</v>
      </c>
      <c r="G13" s="196" t="n">
        <f aca="false">IFERROR((D13-B13)/ABS(B13),0)</f>
        <v>1.04137830236836</v>
      </c>
      <c r="H13" s="6" t="s">
        <v>518</v>
      </c>
    </row>
    <row r="14" customFormat="false" ht="21.75" hidden="false" customHeight="true" outlineLevel="0" collapsed="false">
      <c r="A14" s="214" t="s">
        <v>525</v>
      </c>
      <c r="B14" s="51" t="n">
        <v>0.52</v>
      </c>
      <c r="C14" s="51" t="n">
        <v>0.66</v>
      </c>
      <c r="D14" s="215" t="n">
        <f aca="false">IFERROR(SUM('Scope 2'!F16:F22)/SUM('Scope 2'!C16:C22),0)</f>
        <v>0.814873417721519</v>
      </c>
      <c r="E14" s="216" t="n">
        <f aca="false">IFERROR((C14-B14)/ABS(B14),0)</f>
        <v>0.269230769230769</v>
      </c>
      <c r="F14" s="216" t="n">
        <f aca="false">IFERROR((D14-C14)/ABS(C14),0)</f>
        <v>0.234656693517453</v>
      </c>
      <c r="G14" s="216" t="n">
        <f aca="false">IFERROR((D14-B14)/ABS(B14),0)</f>
        <v>0.567064264849075</v>
      </c>
      <c r="H14" s="6" t="s">
        <v>518</v>
      </c>
    </row>
    <row r="16" customFormat="false" ht="21.75" hidden="false" customHeight="true" outlineLevel="0" collapsed="false">
      <c r="A16" s="4" t="s">
        <v>526</v>
      </c>
      <c r="B16" s="4"/>
      <c r="C16" s="4"/>
      <c r="D16" s="4"/>
      <c r="E16" s="4"/>
      <c r="F16" s="4"/>
      <c r="G16" s="4"/>
      <c r="H16" s="4"/>
      <c r="I16" s="4"/>
    </row>
    <row r="17" customFormat="false" ht="24" hidden="false" customHeight="true" outlineLevel="0" collapsed="false">
      <c r="A17" s="191" t="s">
        <v>455</v>
      </c>
      <c r="B17" s="191" t="s">
        <v>527</v>
      </c>
      <c r="C17" s="191" t="s">
        <v>528</v>
      </c>
      <c r="D17" s="191" t="s">
        <v>529</v>
      </c>
      <c r="E17" s="191" t="s">
        <v>530</v>
      </c>
      <c r="F17" s="191" t="s">
        <v>531</v>
      </c>
      <c r="G17" s="191" t="s">
        <v>532</v>
      </c>
      <c r="H17" s="191" t="s">
        <v>533</v>
      </c>
      <c r="I17" s="191" t="s">
        <v>41</v>
      </c>
    </row>
    <row r="18" customFormat="false" ht="21.75" hidden="false" customHeight="true" outlineLevel="0" collapsed="false">
      <c r="A18" s="217" t="s">
        <v>534</v>
      </c>
      <c r="B18" s="218" t="n">
        <v>2040</v>
      </c>
      <c r="C18" s="218" t="n">
        <v>2024</v>
      </c>
      <c r="D18" s="219" t="n">
        <f aca="false">'Reduction Trajectory'!C22</f>
        <v>1403800</v>
      </c>
      <c r="E18" s="194" t="n">
        <v>0.5</v>
      </c>
      <c r="F18" s="220" t="n">
        <f aca="false">D18*(1-E18)</f>
        <v>701900</v>
      </c>
      <c r="G18" s="220" t="n">
        <f aca="false">(D18-F18)/(B18-C18)</f>
        <v>43868.75</v>
      </c>
      <c r="H18" s="221" t="s">
        <v>535</v>
      </c>
      <c r="I18" s="221" t="s">
        <v>536</v>
      </c>
    </row>
    <row r="19" customFormat="false" ht="21.75" hidden="false" customHeight="true" outlineLevel="0" collapsed="false">
      <c r="A19" s="203" t="s">
        <v>537</v>
      </c>
      <c r="B19" s="218" t="n">
        <v>2030</v>
      </c>
      <c r="C19" s="218" t="n">
        <v>2024</v>
      </c>
      <c r="D19" s="219" t="n">
        <v>600000</v>
      </c>
      <c r="E19" s="196" t="n">
        <v>0.42</v>
      </c>
      <c r="F19" s="220" t="n">
        <f aca="false">D19*(1-E19)</f>
        <v>348000</v>
      </c>
      <c r="G19" s="220" t="n">
        <f aca="false">(D19-F19)/(B19-C19)</f>
        <v>42000</v>
      </c>
      <c r="H19" s="221" t="s">
        <v>538</v>
      </c>
      <c r="I19" s="221" t="s">
        <v>539</v>
      </c>
    </row>
    <row r="20" customFormat="false" ht="21.75" hidden="false" customHeight="true" outlineLevel="0" collapsed="false">
      <c r="A20" s="217" t="s">
        <v>540</v>
      </c>
      <c r="B20" s="218" t="n">
        <v>2035</v>
      </c>
      <c r="C20" s="218" t="n">
        <v>2024</v>
      </c>
      <c r="D20" s="219" t="n">
        <v>1640000</v>
      </c>
      <c r="E20" s="194" t="n">
        <v>0.35</v>
      </c>
      <c r="F20" s="220" t="n">
        <f aca="false">D20*(1-E20)</f>
        <v>1066000</v>
      </c>
      <c r="G20" s="220" t="n">
        <f aca="false">(D20-F20)/(B20-C20)</f>
        <v>52181.8181818182</v>
      </c>
      <c r="H20" s="221" t="s">
        <v>541</v>
      </c>
      <c r="I20" s="221" t="s">
        <v>536</v>
      </c>
    </row>
    <row r="21" customFormat="false" ht="14.25" hidden="false" customHeight="true" outlineLevel="0" collapsed="false">
      <c r="E21" s="222"/>
    </row>
    <row r="22" customFormat="false" ht="14.25" hidden="false" customHeight="true" outlineLevel="0" collapsed="false">
      <c r="H22" s="222"/>
      <c r="I22" s="222"/>
    </row>
    <row r="23" customFormat="false" ht="48" hidden="false" customHeight="true" outlineLevel="0" collapsed="false">
      <c r="A23" s="223"/>
      <c r="B23" s="223"/>
      <c r="C23" s="223"/>
      <c r="D23" s="223"/>
      <c r="E23" s="223"/>
      <c r="F23" s="223"/>
      <c r="G23" s="223"/>
      <c r="H23" s="223"/>
      <c r="I23" s="223"/>
    </row>
  </sheetData>
  <mergeCells count="5">
    <mergeCell ref="A1:K1"/>
    <mergeCell ref="A2:K2"/>
    <mergeCell ref="A4:I4"/>
    <mergeCell ref="A16:I16"/>
    <mergeCell ref="A23:I23"/>
  </mergeCells>
  <conditionalFormatting sqref="E7:G14">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7"/>
  <sheetViews>
    <sheetView showFormulas="false" showGridLines="false" showRowColHeaders="true" showZeros="true" rightToLeft="false" tabSelected="false" showOutlineSymbols="true" defaultGridColor="true" view="normal" topLeftCell="A1" colorId="64" zoomScale="84" zoomScaleNormal="84"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I9" activeCellId="0" sqref="I9"/>
    </sheetView>
  </sheetViews>
  <sheetFormatPr defaultColWidth="8.6796875" defaultRowHeight="14.25" zeroHeight="false" outlineLevelRow="0" outlineLevelCol="0"/>
  <cols>
    <col collapsed="false" customWidth="true" hidden="false" outlineLevel="0" max="1" min="1" style="1" width="1.77"/>
    <col collapsed="false" customWidth="true" hidden="false" outlineLevel="0" max="2" min="2" style="1" width="41.44"/>
    <col collapsed="false" customWidth="true" hidden="false" outlineLevel="0" max="3" min="3" style="1" width="22.67"/>
    <col collapsed="false" customWidth="true" hidden="false" outlineLevel="0" max="4" min="4" style="1" width="17.33"/>
    <col collapsed="false" customWidth="true" hidden="false" outlineLevel="0" max="5" min="5" style="1" width="14.21"/>
    <col collapsed="false" customWidth="true" hidden="false" outlineLevel="0" max="7" min="6" style="1" width="14"/>
    <col collapsed="false" customWidth="true" hidden="false" outlineLevel="0" max="8" min="8" style="1" width="16.11"/>
    <col collapsed="false" customWidth="true" hidden="false" outlineLevel="0" max="9" min="9" style="1" width="14"/>
    <col collapsed="false" customWidth="true" hidden="false" outlineLevel="0" max="10" min="10" style="1" width="30.67"/>
    <col collapsed="false" customWidth="true" hidden="false" outlineLevel="0" max="11" min="11" style="1" width="12.44"/>
    <col collapsed="false" customWidth="true" hidden="false" outlineLevel="0" max="13" min="12" style="1" width="12.33"/>
  </cols>
  <sheetData>
    <row r="1" customFormat="false" ht="7.5" hidden="false" customHeight="true" outlineLevel="0" collapsed="false">
      <c r="A1" s="224"/>
      <c r="B1" s="224"/>
      <c r="C1" s="224"/>
      <c r="D1" s="224"/>
      <c r="E1" s="224"/>
      <c r="F1" s="224"/>
      <c r="G1" s="224"/>
      <c r="H1" s="224"/>
      <c r="I1" s="224"/>
      <c r="J1" s="224"/>
      <c r="K1" s="224"/>
      <c r="L1" s="224"/>
      <c r="M1" s="224"/>
    </row>
    <row r="2" customFormat="false" ht="45.75" hidden="false" customHeight="true" outlineLevel="0" collapsed="false">
      <c r="A2" s="224"/>
      <c r="B2" s="225" t="s">
        <v>542</v>
      </c>
      <c r="C2" s="225"/>
      <c r="D2" s="225"/>
      <c r="E2" s="225"/>
      <c r="F2" s="225"/>
      <c r="G2" s="225"/>
      <c r="H2" s="225"/>
      <c r="I2" s="225"/>
      <c r="J2" s="225"/>
      <c r="K2" s="225"/>
      <c r="L2" s="224"/>
      <c r="M2" s="224"/>
    </row>
    <row r="3" customFormat="false" ht="19.5" hidden="false" customHeight="true" outlineLevel="0" collapsed="false">
      <c r="A3" s="224"/>
      <c r="B3" s="226" t="s">
        <v>543</v>
      </c>
      <c r="C3" s="226"/>
      <c r="D3" s="226"/>
      <c r="E3" s="226"/>
      <c r="F3" s="226"/>
      <c r="G3" s="226"/>
      <c r="H3" s="226"/>
      <c r="I3" s="226"/>
      <c r="J3" s="226"/>
      <c r="K3" s="226"/>
      <c r="L3" s="224"/>
      <c r="M3" s="224"/>
    </row>
    <row r="4" customFormat="false" ht="13.5" hidden="false" customHeight="true" outlineLevel="0" collapsed="false">
      <c r="A4" s="224"/>
      <c r="B4" s="224"/>
      <c r="C4" s="224"/>
      <c r="D4" s="224"/>
      <c r="E4" s="224"/>
      <c r="F4" s="224"/>
      <c r="G4" s="224"/>
      <c r="H4" s="224"/>
      <c r="I4" s="224"/>
      <c r="J4" s="224"/>
      <c r="K4" s="224"/>
      <c r="L4" s="224"/>
      <c r="M4" s="224"/>
    </row>
    <row r="5" customFormat="false" ht="24" hidden="false" customHeight="true" outlineLevel="0" collapsed="false">
      <c r="A5" s="224"/>
      <c r="B5" s="227" t="s">
        <v>544</v>
      </c>
      <c r="C5" s="227"/>
      <c r="D5" s="227"/>
      <c r="E5" s="227"/>
      <c r="F5" s="227"/>
      <c r="G5" s="227"/>
      <c r="H5" s="227"/>
      <c r="I5" s="227"/>
      <c r="J5" s="227"/>
      <c r="K5" s="227"/>
      <c r="L5" s="224"/>
    </row>
    <row r="6" customFormat="false" ht="19.5" hidden="false" customHeight="true" outlineLevel="0" collapsed="false">
      <c r="A6" s="224"/>
      <c r="B6" s="228" t="s">
        <v>545</v>
      </c>
      <c r="C6" s="228"/>
      <c r="D6" s="228"/>
      <c r="E6" s="229" t="s">
        <v>546</v>
      </c>
      <c r="F6" s="229"/>
      <c r="G6" s="229"/>
      <c r="H6" s="230" t="s">
        <v>547</v>
      </c>
      <c r="I6" s="231" t="s">
        <v>548</v>
      </c>
      <c r="J6" s="1" t="s">
        <v>549</v>
      </c>
      <c r="L6" s="224"/>
      <c r="M6" s="224"/>
    </row>
    <row r="7" customFormat="false" ht="21.75" hidden="false" customHeight="true" outlineLevel="0" collapsed="false">
      <c r="A7" s="224"/>
      <c r="B7" s="232" t="s">
        <v>550</v>
      </c>
      <c r="C7" s="233" t="n">
        <v>2024</v>
      </c>
      <c r="D7" s="233" t="n">
        <v>2025</v>
      </c>
      <c r="E7" s="233" t="n">
        <v>2026</v>
      </c>
      <c r="F7" s="233" t="n">
        <v>2027</v>
      </c>
      <c r="G7" s="233" t="n">
        <v>2028</v>
      </c>
      <c r="H7" s="233" t="n">
        <v>2029</v>
      </c>
      <c r="I7" s="233" t="n">
        <v>2030</v>
      </c>
      <c r="J7" s="233"/>
      <c r="K7" s="233"/>
      <c r="L7" s="224"/>
      <c r="M7" s="224"/>
    </row>
    <row r="8" customFormat="false" ht="21.75" hidden="false" customHeight="true" outlineLevel="0" collapsed="false">
      <c r="A8" s="224"/>
      <c r="B8" s="234" t="s">
        <v>551</v>
      </c>
      <c r="C8" s="235" t="n">
        <f aca="false">C9</f>
        <v>1403800</v>
      </c>
      <c r="D8" s="236" t="n">
        <f aca="false">H22</f>
        <v>16456070</v>
      </c>
      <c r="E8" s="236" t="n">
        <f aca="false">I22</f>
        <v>17422778</v>
      </c>
      <c r="F8" s="236" t="n">
        <f aca="false">J22</f>
        <v>18446275</v>
      </c>
      <c r="G8" s="236" t="n">
        <f aca="false">K22</f>
        <v>19529898</v>
      </c>
      <c r="H8" s="236" t="n">
        <f aca="false">L22</f>
        <v>20677178</v>
      </c>
      <c r="I8" s="236" t="n">
        <f aca="false">M22</f>
        <v>21891855</v>
      </c>
      <c r="J8" s="233"/>
      <c r="K8" s="233"/>
      <c r="L8" s="224"/>
      <c r="M8" s="224"/>
    </row>
    <row r="9" customFormat="false" ht="31.5" hidden="false" customHeight="true" outlineLevel="0" collapsed="false">
      <c r="A9" s="224"/>
      <c r="B9" s="237" t="str">
        <f aca="false">'Trend Analysis'!A18</f>
        <v>Net Zero Commitment</v>
      </c>
      <c r="C9" s="235" t="n">
        <f aca="false">'Trend Analysis'!D18</f>
        <v>1403800</v>
      </c>
      <c r="D9" s="238" t="n">
        <f aca="false">C9-'Trend Analysis'!G18</f>
        <v>1359931.25</v>
      </c>
      <c r="E9" s="238" t="n">
        <f aca="false">D9-'Trend Analysis'!G18</f>
        <v>1316062.5</v>
      </c>
      <c r="F9" s="238" t="n">
        <f aca="false">E9-'Trend Analysis'!G18</f>
        <v>1272193.75</v>
      </c>
      <c r="G9" s="238" t="n">
        <f aca="false">F9-'Trend Analysis'!G18</f>
        <v>1228325</v>
      </c>
      <c r="H9" s="238" t="n">
        <f aca="false">G9-'Trend Analysis'!G18</f>
        <v>1184456.25</v>
      </c>
      <c r="I9" s="238" t="n">
        <f aca="false">H9-'Trend Analysis'!G18</f>
        <v>1140587.5</v>
      </c>
      <c r="J9" s="239"/>
      <c r="K9" s="239"/>
      <c r="L9" s="224"/>
      <c r="M9" s="224"/>
    </row>
    <row r="10" customFormat="false" ht="31.5" hidden="false" customHeight="true" outlineLevel="0" collapsed="false">
      <c r="A10" s="224"/>
      <c r="B10" s="240" t="str">
        <f aca="false">'Trend Analysis'!A19</f>
        <v>Near-Term Scope 1+2 Target</v>
      </c>
      <c r="C10" s="235" t="n">
        <f aca="false">'Trend Analysis'!D19</f>
        <v>600000</v>
      </c>
      <c r="D10" s="238" t="n">
        <f aca="false">C10-'Trend Analysis'!G19</f>
        <v>558000</v>
      </c>
      <c r="E10" s="238" t="n">
        <f aca="false">D10-'Trend Analysis'!G19</f>
        <v>516000</v>
      </c>
      <c r="F10" s="238" t="n">
        <f aca="false">E10-'Trend Analysis'!G19</f>
        <v>474000</v>
      </c>
      <c r="G10" s="238" t="n">
        <f aca="false">F10-'Trend Analysis'!G19</f>
        <v>432000</v>
      </c>
      <c r="H10" s="238" t="n">
        <f aca="false">G10-'Trend Analysis'!G19</f>
        <v>390000</v>
      </c>
      <c r="I10" s="238" t="n">
        <f aca="false">H10-'Trend Analysis'!G19</f>
        <v>348000</v>
      </c>
      <c r="J10" s="239"/>
      <c r="K10" s="239"/>
      <c r="L10" s="224"/>
      <c r="M10" s="224"/>
    </row>
    <row r="11" customFormat="false" ht="31.5" hidden="false" customHeight="true" outlineLevel="0" collapsed="false">
      <c r="A11" s="224"/>
      <c r="B11" s="241" t="str">
        <f aca="false">'Trend Analysis'!A20</f>
        <v>Scope 3 Fleet Electrification Target</v>
      </c>
      <c r="C11" s="235" t="n">
        <f aca="false">'Trend Analysis'!D20</f>
        <v>1640000</v>
      </c>
      <c r="D11" s="238" t="n">
        <f aca="false">C11-'Trend Analysis'!G20</f>
        <v>1587818.18181818</v>
      </c>
      <c r="E11" s="238" t="n">
        <f aca="false">D11-'Trend Analysis'!G20</f>
        <v>1535636.36363636</v>
      </c>
      <c r="F11" s="238" t="n">
        <f aca="false">E11-'Trend Analysis'!G20</f>
        <v>1483454.54545455</v>
      </c>
      <c r="G11" s="238" t="n">
        <f aca="false">F11-'Trend Analysis'!G20</f>
        <v>1431272.72727273</v>
      </c>
      <c r="H11" s="238" t="n">
        <f aca="false">G11-'Trend Analysis'!G20</f>
        <v>1379090.90909091</v>
      </c>
      <c r="I11" s="238" t="n">
        <f aca="false">H11-'Trend Analysis'!G20</f>
        <v>1326909.09090909</v>
      </c>
      <c r="J11" s="239"/>
      <c r="K11" s="239"/>
      <c r="L11" s="224"/>
      <c r="M11" s="224"/>
    </row>
    <row r="12" customFormat="false" ht="7.5" hidden="false" customHeight="true" outlineLevel="0" collapsed="false">
      <c r="A12" s="224"/>
      <c r="B12" s="224"/>
      <c r="C12" s="224"/>
      <c r="D12" s="224"/>
      <c r="E12" s="224"/>
      <c r="F12" s="224"/>
      <c r="G12" s="224"/>
      <c r="H12" s="224"/>
      <c r="I12" s="224"/>
      <c r="J12" s="224"/>
      <c r="K12" s="224"/>
      <c r="L12" s="224"/>
      <c r="M12" s="224"/>
    </row>
    <row r="13" customFormat="false" ht="9.75" hidden="false" customHeight="true" outlineLevel="0" collapsed="false">
      <c r="A13" s="224"/>
      <c r="B13" s="224"/>
      <c r="C13" s="224"/>
      <c r="D13" s="224"/>
      <c r="E13" s="224"/>
      <c r="F13" s="224"/>
      <c r="G13" s="224"/>
      <c r="H13" s="224"/>
      <c r="I13" s="224"/>
      <c r="J13" s="224"/>
      <c r="K13" s="224"/>
      <c r="L13" s="224"/>
      <c r="M13" s="224"/>
    </row>
    <row r="14" customFormat="false" ht="15.75" hidden="false" customHeight="true" outlineLevel="0" collapsed="false">
      <c r="A14" s="224"/>
      <c r="B14" s="224"/>
      <c r="C14" s="224"/>
      <c r="D14" s="224"/>
      <c r="E14" s="224"/>
      <c r="F14" s="224"/>
      <c r="G14" s="224"/>
      <c r="H14" s="224"/>
      <c r="I14" s="224"/>
      <c r="J14" s="224"/>
      <c r="K14" s="224"/>
      <c r="L14" s="224"/>
      <c r="M14" s="224"/>
    </row>
    <row r="15" customFormat="false" ht="24" hidden="false" customHeight="true" outlineLevel="0" collapsed="false">
      <c r="A15" s="224"/>
      <c r="B15" s="242" t="s">
        <v>552</v>
      </c>
      <c r="C15" s="242"/>
      <c r="D15" s="242"/>
      <c r="E15" s="242"/>
      <c r="F15" s="242"/>
      <c r="G15" s="242"/>
      <c r="H15" s="242"/>
      <c r="I15" s="242"/>
      <c r="J15" s="242"/>
      <c r="K15" s="242"/>
      <c r="L15" s="242"/>
      <c r="M15" s="242"/>
    </row>
    <row r="16" customFormat="false" ht="21.75" hidden="false" customHeight="true" outlineLevel="0" collapsed="false">
      <c r="A16" s="224"/>
      <c r="B16" s="232" t="s">
        <v>553</v>
      </c>
      <c r="C16" s="233" t="n">
        <v>2020</v>
      </c>
      <c r="D16" s="233" t="n">
        <v>2021</v>
      </c>
      <c r="E16" s="233" t="n">
        <v>2022</v>
      </c>
      <c r="F16" s="233" t="n">
        <v>2023</v>
      </c>
      <c r="G16" s="233" t="n">
        <v>2024</v>
      </c>
      <c r="H16" s="243" t="n">
        <v>2025</v>
      </c>
      <c r="I16" s="243" t="n">
        <v>2026</v>
      </c>
      <c r="J16" s="243" t="n">
        <v>2027</v>
      </c>
      <c r="K16" s="243" t="n">
        <v>2028</v>
      </c>
      <c r="L16" s="243" t="n">
        <v>2029</v>
      </c>
      <c r="M16" s="243" t="n">
        <v>2030</v>
      </c>
    </row>
    <row r="17" customFormat="false" ht="21.75" hidden="false" customHeight="true" outlineLevel="0" collapsed="false">
      <c r="A17" s="224"/>
      <c r="B17" s="244" t="s">
        <v>554</v>
      </c>
      <c r="C17" s="245" t="n">
        <v>78400</v>
      </c>
      <c r="D17" s="245" t="n">
        <v>95600</v>
      </c>
      <c r="E17" s="245" t="n">
        <v>118200</v>
      </c>
      <c r="F17" s="245" t="n">
        <v>142800</v>
      </c>
      <c r="G17" s="245" t="n">
        <v>143510</v>
      </c>
      <c r="H17" s="246" t="n">
        <f aca="false">(1+((G17/C17)^(1/4)-1))*G17</f>
        <v>166925.885939349</v>
      </c>
      <c r="I17" s="246" t="n">
        <v>158197</v>
      </c>
      <c r="J17" s="246" t="n">
        <v>166095</v>
      </c>
      <c r="K17" s="246" t="n">
        <v>174387</v>
      </c>
      <c r="L17" s="246" t="n">
        <v>183093</v>
      </c>
      <c r="M17" s="246" t="n">
        <v>192234</v>
      </c>
    </row>
    <row r="18" customFormat="false" ht="21.75" hidden="false" customHeight="true" outlineLevel="0" collapsed="false">
      <c r="A18" s="224"/>
      <c r="B18" s="247" t="s">
        <v>555</v>
      </c>
      <c r="C18" s="245" t="n">
        <v>85200</v>
      </c>
      <c r="D18" s="245" t="n">
        <v>92400</v>
      </c>
      <c r="E18" s="245" t="n">
        <v>98600</v>
      </c>
      <c r="F18" s="245" t="n">
        <v>102400</v>
      </c>
      <c r="G18" s="245" t="n">
        <v>9955368</v>
      </c>
      <c r="H18" s="246" t="n">
        <f aca="false">('Trend Analysis'!F8+1)*G18</f>
        <v>6664729.9944375</v>
      </c>
      <c r="I18" s="246" t="n">
        <f aca="false">('Trend Analysis'!F8+1)*H18</f>
        <v>4461776.3902605</v>
      </c>
      <c r="J18" s="246" t="n">
        <f aca="false">('Trend Analysis'!F8+1)*I18</f>
        <v>2986985.00513916</v>
      </c>
      <c r="K18" s="246" t="n">
        <f aca="false">('Trend Analysis'!F8+1)*J18</f>
        <v>1999669.7818389</v>
      </c>
      <c r="L18" s="246" t="n">
        <f aca="false">('Trend Analysis'!F8+1)*K18</f>
        <v>1338700.80684029</v>
      </c>
      <c r="M18" s="246" t="n">
        <f aca="false">('Trend Analysis'!F8+1)*L18</f>
        <v>896207.897179309</v>
      </c>
    </row>
    <row r="19" customFormat="false" ht="21.75" hidden="false" customHeight="true" outlineLevel="0" collapsed="false">
      <c r="A19" s="224"/>
      <c r="B19" s="247" t="s">
        <v>556</v>
      </c>
      <c r="C19" s="245" t="n">
        <v>85200</v>
      </c>
      <c r="D19" s="245" t="n">
        <v>80100</v>
      </c>
      <c r="E19" s="245" t="n">
        <v>62800</v>
      </c>
      <c r="F19" s="245" t="n">
        <v>38400</v>
      </c>
      <c r="G19" s="245" t="n">
        <v>259090</v>
      </c>
      <c r="H19" s="246" t="n">
        <v>224928</v>
      </c>
      <c r="I19" s="246" t="n">
        <v>195271</v>
      </c>
      <c r="J19" s="246" t="n">
        <v>169524</v>
      </c>
      <c r="K19" s="246" t="n">
        <v>147172</v>
      </c>
      <c r="L19" s="246" t="n">
        <v>127767</v>
      </c>
      <c r="M19" s="246" t="n">
        <v>110921</v>
      </c>
    </row>
    <row r="20" customFormat="false" ht="21" hidden="false" customHeight="true" outlineLevel="0" collapsed="false">
      <c r="A20" s="224"/>
      <c r="B20" s="248" t="s">
        <v>557</v>
      </c>
      <c r="C20" s="245" t="n">
        <v>574219</v>
      </c>
      <c r="D20" s="245" t="n">
        <v>553109</v>
      </c>
      <c r="E20" s="245" t="n">
        <v>427442</v>
      </c>
      <c r="F20" s="245" t="n">
        <v>538094</v>
      </c>
      <c r="G20" s="245" t="n">
        <v>402600</v>
      </c>
      <c r="H20" s="246" t="n">
        <v>368403</v>
      </c>
      <c r="I20" s="246" t="n">
        <v>337110</v>
      </c>
      <c r="J20" s="246" t="n">
        <v>308476</v>
      </c>
      <c r="K20" s="246" t="n">
        <v>282274</v>
      </c>
      <c r="L20" s="246" t="n">
        <v>258297</v>
      </c>
      <c r="M20" s="246" t="n">
        <v>236357</v>
      </c>
    </row>
    <row r="21" customFormat="false" ht="21.75" hidden="false" customHeight="true" outlineLevel="0" collapsed="false">
      <c r="A21" s="224"/>
      <c r="B21" s="249" t="s">
        <v>558</v>
      </c>
      <c r="C21" s="245" t="n">
        <v>1240000</v>
      </c>
      <c r="D21" s="245" t="n">
        <v>1520000</v>
      </c>
      <c r="E21" s="245" t="n">
        <v>1780000</v>
      </c>
      <c r="F21" s="245" t="n">
        <v>1940000</v>
      </c>
      <c r="G21" s="245" t="n">
        <v>15140000</v>
      </c>
      <c r="H21" s="246" t="n">
        <v>16114753</v>
      </c>
      <c r="I21" s="246" t="n">
        <v>17152263</v>
      </c>
      <c r="J21" s="246" t="n">
        <v>18256571</v>
      </c>
      <c r="K21" s="246" t="n">
        <v>19431977</v>
      </c>
      <c r="L21" s="246" t="n">
        <v>20683059</v>
      </c>
      <c r="M21" s="246" t="n">
        <v>22014689</v>
      </c>
    </row>
    <row r="22" customFormat="false" ht="21.75" hidden="false" customHeight="true" outlineLevel="0" collapsed="false">
      <c r="A22" s="224"/>
      <c r="B22" s="250" t="s">
        <v>559</v>
      </c>
      <c r="C22" s="173" t="n">
        <v>1403800</v>
      </c>
      <c r="D22" s="173" t="n">
        <v>1688100</v>
      </c>
      <c r="E22" s="173" t="n">
        <v>1961000</v>
      </c>
      <c r="F22" s="173" t="n">
        <v>2121600</v>
      </c>
      <c r="G22" s="173" t="n">
        <v>15543000</v>
      </c>
      <c r="H22" s="246" t="n">
        <v>16456070</v>
      </c>
      <c r="I22" s="251" t="n">
        <v>17422778</v>
      </c>
      <c r="J22" s="251" t="n">
        <v>18446275</v>
      </c>
      <c r="K22" s="251" t="n">
        <v>19529898</v>
      </c>
      <c r="L22" s="251" t="n">
        <v>20677178</v>
      </c>
      <c r="M22" s="251" t="n">
        <v>21891855</v>
      </c>
    </row>
    <row r="23" customFormat="false" ht="9.75" hidden="false" customHeight="true" outlineLevel="0" collapsed="false">
      <c r="A23" s="224"/>
      <c r="B23" s="224"/>
      <c r="C23" s="224"/>
      <c r="D23" s="224"/>
      <c r="E23" s="224"/>
      <c r="F23" s="224"/>
      <c r="G23" s="224"/>
      <c r="H23" s="224"/>
      <c r="I23" s="224"/>
      <c r="J23" s="224"/>
      <c r="K23" s="224"/>
      <c r="L23" s="224"/>
      <c r="M23" s="224"/>
    </row>
    <row r="24" customFormat="false" ht="24" hidden="false" customHeight="true" outlineLevel="0" collapsed="false">
      <c r="A24" s="224"/>
      <c r="B24" s="227" t="s">
        <v>560</v>
      </c>
      <c r="C24" s="227"/>
      <c r="D24" s="227"/>
      <c r="E24" s="227"/>
      <c r="F24" s="227"/>
      <c r="G24" s="227"/>
      <c r="H24" s="227"/>
      <c r="I24" s="227"/>
      <c r="J24" s="227"/>
      <c r="K24" s="227"/>
      <c r="L24" s="224"/>
      <c r="M24" s="224"/>
    </row>
    <row r="25" customFormat="false" ht="19.5" hidden="false" customHeight="true" outlineLevel="0" collapsed="false">
      <c r="A25" s="224"/>
      <c r="B25" s="233" t="s">
        <v>103</v>
      </c>
      <c r="C25" s="233" t="s">
        <v>561</v>
      </c>
      <c r="D25" s="233" t="s">
        <v>531</v>
      </c>
      <c r="E25" s="233" t="s">
        <v>104</v>
      </c>
      <c r="F25" s="224"/>
      <c r="G25" s="224"/>
      <c r="H25" s="224"/>
      <c r="I25" s="224"/>
      <c r="J25" s="224"/>
      <c r="K25" s="224"/>
      <c r="L25" s="224"/>
      <c r="M25" s="224"/>
    </row>
    <row r="26" customFormat="false" ht="19.5" hidden="false" customHeight="true" outlineLevel="0" collapsed="false">
      <c r="A26" s="224"/>
      <c r="B26" s="252" t="n">
        <v>2030</v>
      </c>
      <c r="C26" s="253" t="s">
        <v>562</v>
      </c>
      <c r="D26" s="238" t="n">
        <f aca="false">'Trend Analysis'!F18</f>
        <v>701900</v>
      </c>
      <c r="E26" s="254" t="str">
        <f aca="false">'Trend Analysis'!H18</f>
        <v>Science-Based Target (SBTi)</v>
      </c>
      <c r="F26" s="224"/>
      <c r="G26" s="224"/>
      <c r="H26" s="224"/>
      <c r="I26" s="224"/>
      <c r="J26" s="224"/>
      <c r="K26" s="224"/>
      <c r="L26" s="224"/>
      <c r="M26" s="224"/>
    </row>
    <row r="27" customFormat="false" ht="19.5" hidden="false" customHeight="true" outlineLevel="0" collapsed="false">
      <c r="A27" s="224"/>
      <c r="B27" s="252" t="n">
        <v>2030</v>
      </c>
      <c r="C27" s="253" t="s">
        <v>563</v>
      </c>
      <c r="D27" s="238" t="n">
        <f aca="false">'Trend Analysis'!F19</f>
        <v>348000</v>
      </c>
      <c r="E27" s="254" t="str">
        <f aca="false">'Trend Analysis'!H19</f>
        <v>SBTi 1.5°C aligned</v>
      </c>
      <c r="F27" s="224"/>
      <c r="G27" s="224"/>
      <c r="H27" s="224"/>
      <c r="I27" s="224"/>
      <c r="J27" s="224"/>
      <c r="K27" s="224"/>
      <c r="L27" s="224"/>
      <c r="M27" s="224"/>
    </row>
    <row r="28" customFormat="false" ht="19.5" hidden="false" customHeight="true" outlineLevel="0" collapsed="false">
      <c r="A28" s="224"/>
      <c r="B28" s="252" t="n">
        <v>2030</v>
      </c>
      <c r="C28" s="253" t="s">
        <v>564</v>
      </c>
      <c r="D28" s="238" t="n">
        <f aca="false">'Trend Analysis'!F20</f>
        <v>1066000</v>
      </c>
      <c r="E28" s="254" t="str">
        <f aca="false">'Trend Analysis'!H20</f>
        <v>SBTi value chain</v>
      </c>
      <c r="F28" s="224"/>
      <c r="G28" s="224"/>
      <c r="H28" s="224"/>
      <c r="I28" s="224"/>
      <c r="J28" s="224"/>
      <c r="K28" s="224"/>
      <c r="L28" s="224"/>
      <c r="M28" s="224"/>
    </row>
    <row r="29" customFormat="false" ht="19.5" hidden="false" customHeight="true" outlineLevel="0" collapsed="false">
      <c r="A29" s="224"/>
      <c r="B29" s="255"/>
      <c r="C29" s="256" t="s">
        <v>565</v>
      </c>
      <c r="D29" s="239"/>
      <c r="E29" s="257" t="s">
        <v>566</v>
      </c>
      <c r="F29" s="224"/>
      <c r="G29" s="224"/>
      <c r="H29" s="224"/>
      <c r="I29" s="224"/>
      <c r="J29" s="224"/>
      <c r="K29" s="224"/>
      <c r="L29" s="224"/>
      <c r="M29" s="224"/>
    </row>
    <row r="30" customFormat="false" ht="19.5" hidden="false" customHeight="true" outlineLevel="0" collapsed="false">
      <c r="A30" s="224"/>
      <c r="B30" s="255"/>
      <c r="C30" s="256" t="s">
        <v>565</v>
      </c>
      <c r="D30" s="239"/>
      <c r="E30" s="257" t="s">
        <v>566</v>
      </c>
      <c r="F30" s="224"/>
      <c r="G30" s="224"/>
      <c r="H30" s="224"/>
      <c r="I30" s="224"/>
      <c r="J30" s="224"/>
      <c r="K30" s="224"/>
      <c r="L30" s="224"/>
      <c r="M30" s="224"/>
    </row>
    <row r="31" customFormat="false" ht="13.5" hidden="false" customHeight="true" outlineLevel="0" collapsed="false">
      <c r="A31" s="224"/>
      <c r="B31" s="224"/>
      <c r="C31" s="224"/>
      <c r="D31" s="224"/>
      <c r="E31" s="224"/>
      <c r="F31" s="224"/>
      <c r="G31" s="224"/>
      <c r="H31" s="224"/>
      <c r="I31" s="224"/>
      <c r="J31" s="224"/>
      <c r="K31" s="224"/>
      <c r="L31" s="224"/>
      <c r="M31" s="224"/>
    </row>
    <row r="32" customFormat="false" ht="15.75" hidden="false" customHeight="true" outlineLevel="0" collapsed="false">
      <c r="A32" s="224"/>
      <c r="B32" s="224"/>
      <c r="C32" s="224"/>
      <c r="D32" s="224"/>
      <c r="E32" s="224"/>
      <c r="F32" s="224"/>
      <c r="G32" s="224"/>
      <c r="H32" s="224"/>
      <c r="I32" s="224"/>
      <c r="J32" s="224"/>
      <c r="K32" s="224"/>
      <c r="L32" s="224"/>
      <c r="M32" s="224"/>
    </row>
    <row r="33" customFormat="false" ht="24" hidden="false" customHeight="true" outlineLevel="0" collapsed="false">
      <c r="A33" s="224"/>
      <c r="B33" s="227" t="s">
        <v>567</v>
      </c>
      <c r="C33" s="227"/>
      <c r="D33" s="227"/>
      <c r="E33" s="227"/>
      <c r="F33" s="227"/>
      <c r="G33" s="227"/>
      <c r="H33" s="227"/>
      <c r="I33" s="227"/>
      <c r="J33" s="227"/>
      <c r="K33" s="227"/>
      <c r="L33" s="224"/>
      <c r="M33" s="224"/>
    </row>
    <row r="34" customFormat="false" ht="15.75" hidden="false" customHeight="true" outlineLevel="0" collapsed="false">
      <c r="A34" s="224"/>
      <c r="B34" s="224"/>
      <c r="C34" s="224"/>
      <c r="D34" s="224"/>
      <c r="E34" s="224"/>
      <c r="F34" s="224"/>
      <c r="G34" s="224"/>
      <c r="H34" s="224"/>
      <c r="I34" s="224"/>
      <c r="J34" s="224"/>
      <c r="K34" s="224"/>
      <c r="L34" s="224"/>
      <c r="M34" s="224"/>
    </row>
    <row r="35" customFormat="false" ht="15.75" hidden="false" customHeight="true" outlineLevel="0" collapsed="false">
      <c r="A35" s="224"/>
      <c r="B35" s="224"/>
      <c r="C35" s="224"/>
      <c r="D35" s="224"/>
      <c r="E35" s="224"/>
      <c r="F35" s="224"/>
      <c r="G35" s="224"/>
      <c r="H35" s="224"/>
      <c r="I35" s="224"/>
      <c r="J35" s="224"/>
      <c r="K35" s="224"/>
      <c r="L35" s="224"/>
      <c r="M35" s="224"/>
    </row>
    <row r="36" customFormat="false" ht="15.75" hidden="false" customHeight="true" outlineLevel="0" collapsed="false">
      <c r="A36" s="224"/>
      <c r="B36" s="224"/>
      <c r="C36" s="224"/>
      <c r="D36" s="224"/>
      <c r="E36" s="224"/>
      <c r="F36" s="224"/>
      <c r="G36" s="224"/>
      <c r="H36" s="224"/>
      <c r="I36" s="224"/>
      <c r="J36" s="224"/>
      <c r="K36" s="224"/>
      <c r="L36" s="224"/>
      <c r="M36" s="224"/>
    </row>
    <row r="37" customFormat="false" ht="15.75" hidden="false" customHeight="true" outlineLevel="0" collapsed="false">
      <c r="A37" s="224"/>
      <c r="B37" s="224"/>
      <c r="C37" s="224"/>
      <c r="D37" s="224"/>
      <c r="E37" s="224"/>
      <c r="F37" s="224"/>
      <c r="G37" s="224"/>
      <c r="H37" s="224"/>
      <c r="I37" s="224"/>
      <c r="J37" s="224"/>
      <c r="K37" s="224"/>
      <c r="L37" s="224"/>
      <c r="M37" s="224"/>
    </row>
    <row r="38" customFormat="false" ht="15.75" hidden="false" customHeight="true" outlineLevel="0" collapsed="false">
      <c r="A38" s="224"/>
      <c r="B38" s="224"/>
      <c r="C38" s="224"/>
      <c r="D38" s="224"/>
      <c r="E38" s="224"/>
      <c r="F38" s="224"/>
      <c r="G38" s="224"/>
      <c r="H38" s="224"/>
      <c r="I38" s="224"/>
      <c r="J38" s="224"/>
      <c r="K38" s="224"/>
      <c r="L38" s="224"/>
      <c r="M38" s="224"/>
    </row>
    <row r="39" customFormat="false" ht="15.75" hidden="false" customHeight="true" outlineLevel="0" collapsed="false">
      <c r="A39" s="224"/>
      <c r="B39" s="224"/>
      <c r="C39" s="224"/>
      <c r="D39" s="224"/>
      <c r="E39" s="224"/>
      <c r="F39" s="224"/>
      <c r="G39" s="224"/>
      <c r="H39" s="224"/>
      <c r="I39" s="224"/>
      <c r="J39" s="224"/>
      <c r="K39" s="224"/>
      <c r="L39" s="224"/>
      <c r="M39" s="224"/>
    </row>
    <row r="40" customFormat="false" ht="15.75" hidden="false" customHeight="true" outlineLevel="0" collapsed="false">
      <c r="A40" s="224"/>
      <c r="B40" s="224"/>
      <c r="C40" s="224"/>
      <c r="D40" s="224"/>
      <c r="E40" s="224"/>
      <c r="F40" s="224"/>
      <c r="G40" s="224"/>
      <c r="H40" s="224"/>
      <c r="I40" s="224"/>
      <c r="J40" s="224"/>
      <c r="K40" s="224"/>
      <c r="L40" s="224"/>
      <c r="M40" s="224"/>
    </row>
    <row r="41" customFormat="false" ht="15.75" hidden="false" customHeight="true" outlineLevel="0" collapsed="false">
      <c r="A41" s="224"/>
      <c r="B41" s="224"/>
      <c r="C41" s="224"/>
      <c r="D41" s="224"/>
      <c r="E41" s="224"/>
      <c r="F41" s="224"/>
      <c r="G41" s="224"/>
      <c r="H41" s="224"/>
      <c r="I41" s="224"/>
      <c r="J41" s="224"/>
      <c r="K41" s="224"/>
      <c r="L41" s="224"/>
      <c r="M41" s="224"/>
    </row>
    <row r="42" customFormat="false" ht="15.75" hidden="false" customHeight="true" outlineLevel="0" collapsed="false">
      <c r="A42" s="224"/>
      <c r="B42" s="224"/>
      <c r="C42" s="224"/>
      <c r="D42" s="224"/>
      <c r="E42" s="224"/>
      <c r="F42" s="224"/>
      <c r="G42" s="224"/>
      <c r="H42" s="224"/>
      <c r="I42" s="224"/>
      <c r="J42" s="224"/>
      <c r="K42" s="224"/>
      <c r="L42" s="224"/>
      <c r="M42" s="224"/>
    </row>
    <row r="43" customFormat="false" ht="15.75" hidden="false" customHeight="true" outlineLevel="0" collapsed="false">
      <c r="A43" s="224"/>
      <c r="B43" s="224"/>
      <c r="C43" s="224"/>
      <c r="D43" s="224"/>
      <c r="E43" s="224"/>
      <c r="F43" s="224"/>
      <c r="G43" s="224"/>
      <c r="H43" s="224"/>
      <c r="I43" s="224"/>
      <c r="J43" s="224"/>
      <c r="K43" s="224"/>
      <c r="L43" s="224"/>
      <c r="M43" s="224"/>
    </row>
    <row r="44" customFormat="false" ht="15.75" hidden="false" customHeight="true" outlineLevel="0" collapsed="false">
      <c r="A44" s="224"/>
      <c r="B44" s="224"/>
      <c r="C44" s="224"/>
      <c r="D44" s="224"/>
      <c r="E44" s="224"/>
      <c r="F44" s="224"/>
      <c r="G44" s="224"/>
      <c r="H44" s="224"/>
      <c r="I44" s="224"/>
      <c r="J44" s="224"/>
      <c r="K44" s="224"/>
      <c r="L44" s="224"/>
      <c r="M44" s="224"/>
    </row>
    <row r="45" customFormat="false" ht="15.75" hidden="false" customHeight="true" outlineLevel="0" collapsed="false">
      <c r="A45" s="224"/>
      <c r="B45" s="224"/>
      <c r="C45" s="224"/>
      <c r="D45" s="224"/>
      <c r="E45" s="224"/>
      <c r="F45" s="224"/>
      <c r="G45" s="224"/>
      <c r="H45" s="224"/>
      <c r="I45" s="224"/>
      <c r="J45" s="224"/>
      <c r="K45" s="224"/>
      <c r="L45" s="224"/>
      <c r="M45" s="224"/>
    </row>
    <row r="46" customFormat="false" ht="15.75" hidden="false" customHeight="true" outlineLevel="0" collapsed="false">
      <c r="A46" s="224"/>
      <c r="B46" s="224"/>
      <c r="C46" s="224"/>
      <c r="D46" s="224"/>
      <c r="E46" s="224"/>
      <c r="F46" s="224"/>
      <c r="G46" s="224"/>
      <c r="H46" s="224"/>
      <c r="I46" s="224"/>
      <c r="J46" s="224"/>
      <c r="K46" s="224"/>
      <c r="L46" s="224"/>
      <c r="M46" s="224"/>
    </row>
    <row r="47" customFormat="false" ht="15.75" hidden="false" customHeight="true" outlineLevel="0" collapsed="false">
      <c r="A47" s="224"/>
      <c r="B47" s="224"/>
      <c r="C47" s="224"/>
      <c r="D47" s="224"/>
      <c r="E47" s="224"/>
      <c r="F47" s="224"/>
      <c r="G47" s="224"/>
      <c r="H47" s="224"/>
      <c r="I47" s="224"/>
      <c r="J47" s="224"/>
      <c r="K47" s="224"/>
      <c r="L47" s="224"/>
      <c r="M47" s="224"/>
    </row>
    <row r="48" customFormat="false" ht="15.75" hidden="false" customHeight="true" outlineLevel="0" collapsed="false">
      <c r="A48" s="224"/>
      <c r="B48" s="224"/>
      <c r="C48" s="224"/>
      <c r="D48" s="224"/>
      <c r="E48" s="224"/>
      <c r="F48" s="224"/>
      <c r="G48" s="224"/>
      <c r="H48" s="224"/>
      <c r="I48" s="224"/>
      <c r="J48" s="224"/>
      <c r="K48" s="224"/>
      <c r="L48" s="224"/>
      <c r="M48" s="224"/>
    </row>
    <row r="49" customFormat="false" ht="15.75" hidden="false" customHeight="true" outlineLevel="0" collapsed="false">
      <c r="A49" s="224"/>
      <c r="B49" s="224"/>
      <c r="C49" s="224"/>
      <c r="D49" s="224"/>
      <c r="E49" s="224"/>
      <c r="F49" s="224"/>
      <c r="G49" s="224"/>
      <c r="H49" s="224"/>
      <c r="I49" s="224"/>
      <c r="J49" s="224"/>
      <c r="K49" s="224"/>
      <c r="L49" s="224"/>
      <c r="M49" s="224"/>
    </row>
    <row r="50" customFormat="false" ht="15.75" hidden="false" customHeight="true" outlineLevel="0" collapsed="false">
      <c r="A50" s="224"/>
      <c r="B50" s="224"/>
      <c r="C50" s="224"/>
      <c r="D50" s="224"/>
      <c r="E50" s="224"/>
      <c r="F50" s="224"/>
      <c r="G50" s="224"/>
      <c r="H50" s="224"/>
      <c r="I50" s="224"/>
      <c r="J50" s="224"/>
      <c r="K50" s="224"/>
      <c r="L50" s="224"/>
      <c r="M50" s="224"/>
    </row>
    <row r="51" customFormat="false" ht="15.75" hidden="false" customHeight="true" outlineLevel="0" collapsed="false">
      <c r="A51" s="224"/>
      <c r="B51" s="224"/>
      <c r="C51" s="224"/>
      <c r="D51" s="224"/>
      <c r="E51" s="224"/>
      <c r="F51" s="224"/>
      <c r="G51" s="224"/>
      <c r="H51" s="224"/>
      <c r="I51" s="224"/>
      <c r="J51" s="224"/>
      <c r="K51" s="224"/>
      <c r="L51" s="224"/>
      <c r="M51" s="224"/>
    </row>
    <row r="52" customFormat="false" ht="15.75" hidden="false" customHeight="true" outlineLevel="0" collapsed="false">
      <c r="A52" s="224"/>
      <c r="B52" s="224"/>
      <c r="C52" s="224"/>
      <c r="D52" s="224"/>
      <c r="E52" s="224"/>
      <c r="F52" s="224"/>
      <c r="G52" s="224"/>
      <c r="H52" s="224"/>
      <c r="I52" s="224"/>
      <c r="J52" s="224"/>
      <c r="K52" s="224"/>
      <c r="L52" s="224"/>
      <c r="M52" s="224"/>
    </row>
    <row r="53" customFormat="false" ht="15.75" hidden="false" customHeight="true" outlineLevel="0" collapsed="false">
      <c r="A53" s="224"/>
      <c r="B53" s="224"/>
      <c r="C53" s="224"/>
      <c r="D53" s="224"/>
      <c r="E53" s="224"/>
      <c r="F53" s="224"/>
      <c r="G53" s="224"/>
      <c r="H53" s="224"/>
      <c r="I53" s="224"/>
      <c r="J53" s="224"/>
      <c r="K53" s="224"/>
      <c r="L53" s="224"/>
      <c r="M53" s="224"/>
    </row>
    <row r="54" customFormat="false" ht="15.75" hidden="false" customHeight="true" outlineLevel="0" collapsed="false">
      <c r="A54" s="224"/>
      <c r="B54" s="224"/>
      <c r="C54" s="224"/>
      <c r="D54" s="224"/>
      <c r="E54" s="224"/>
      <c r="F54" s="224"/>
      <c r="G54" s="224"/>
      <c r="H54" s="224"/>
      <c r="I54" s="224"/>
      <c r="J54" s="224"/>
      <c r="K54" s="224"/>
      <c r="L54" s="224"/>
      <c r="M54" s="224"/>
    </row>
    <row r="55" customFormat="false" ht="15.75" hidden="false" customHeight="true" outlineLevel="0" collapsed="false">
      <c r="A55" s="224"/>
      <c r="B55" s="224"/>
      <c r="C55" s="224"/>
      <c r="D55" s="224"/>
      <c r="E55" s="224"/>
      <c r="F55" s="224"/>
      <c r="G55" s="224"/>
      <c r="H55" s="224"/>
      <c r="I55" s="224"/>
      <c r="J55" s="224"/>
      <c r="K55" s="224"/>
      <c r="L55" s="224"/>
      <c r="M55" s="224"/>
    </row>
    <row r="56" customFormat="false" ht="15.75" hidden="false" customHeight="true" outlineLevel="0" collapsed="false">
      <c r="A56" s="224"/>
      <c r="B56" s="224"/>
      <c r="C56" s="224"/>
      <c r="D56" s="224"/>
      <c r="E56" s="224"/>
      <c r="F56" s="224"/>
      <c r="G56" s="224"/>
      <c r="H56" s="224"/>
      <c r="I56" s="224"/>
      <c r="J56" s="224"/>
      <c r="K56" s="224"/>
      <c r="L56" s="224"/>
      <c r="M56" s="224"/>
    </row>
    <row r="57" customFormat="false" ht="15.75" hidden="false" customHeight="true" outlineLevel="0" collapsed="false">
      <c r="A57" s="224"/>
      <c r="B57" s="224"/>
      <c r="C57" s="224"/>
      <c r="D57" s="224"/>
      <c r="E57" s="224"/>
      <c r="F57" s="224"/>
      <c r="G57" s="224"/>
      <c r="H57" s="224"/>
      <c r="I57" s="224"/>
      <c r="J57" s="224"/>
      <c r="K57" s="224"/>
      <c r="L57" s="224"/>
      <c r="M57" s="224"/>
    </row>
    <row r="58" customFormat="false" ht="15.75" hidden="false" customHeight="true" outlineLevel="0" collapsed="false">
      <c r="A58" s="224"/>
      <c r="B58" s="258" t="s">
        <v>568</v>
      </c>
      <c r="C58" s="224"/>
      <c r="D58" s="224"/>
      <c r="E58" s="224"/>
      <c r="F58" s="224"/>
      <c r="G58" s="224"/>
      <c r="H58" s="224"/>
      <c r="I58" s="224"/>
      <c r="J58" s="224"/>
      <c r="K58" s="224"/>
      <c r="L58" s="224"/>
      <c r="M58" s="224"/>
    </row>
    <row r="59" customFormat="false" ht="24" hidden="false" customHeight="true" outlineLevel="0" collapsed="false">
      <c r="A59" s="224"/>
      <c r="B59" s="227" t="s">
        <v>569</v>
      </c>
      <c r="C59" s="227"/>
      <c r="D59" s="227"/>
      <c r="E59" s="227"/>
      <c r="F59" s="227"/>
      <c r="G59" s="227"/>
      <c r="H59" s="227"/>
      <c r="I59" s="227"/>
      <c r="J59" s="227"/>
      <c r="K59" s="227"/>
      <c r="L59" s="224"/>
      <c r="M59" s="224"/>
    </row>
    <row r="60" customFormat="false" ht="30" hidden="false" customHeight="true" outlineLevel="0" collapsed="false">
      <c r="A60" s="224"/>
      <c r="B60" s="259"/>
      <c r="C60" s="259"/>
      <c r="D60" s="259"/>
      <c r="E60" s="259"/>
      <c r="F60" s="259"/>
      <c r="G60" s="259"/>
      <c r="H60" s="259"/>
      <c r="I60" s="259"/>
      <c r="J60" s="259"/>
      <c r="K60" s="259"/>
      <c r="L60" s="224"/>
      <c r="M60" s="224"/>
    </row>
    <row r="61" customFormat="false" ht="15.75" hidden="false" customHeight="true" outlineLevel="0" collapsed="false">
      <c r="A61" s="224"/>
      <c r="B61" s="224"/>
      <c r="C61" s="224"/>
      <c r="D61" s="224"/>
      <c r="E61" s="224"/>
      <c r="F61" s="224"/>
      <c r="G61" s="224"/>
      <c r="H61" s="224"/>
      <c r="I61" s="224"/>
      <c r="J61" s="224"/>
      <c r="K61" s="224"/>
      <c r="L61" s="224"/>
      <c r="M61" s="224"/>
    </row>
    <row r="62" customFormat="false" ht="15.75" hidden="false" customHeight="true" outlineLevel="0" collapsed="false">
      <c r="A62" s="224"/>
      <c r="B62" s="224"/>
      <c r="C62" s="224"/>
      <c r="D62" s="224"/>
      <c r="E62" s="224"/>
      <c r="F62" s="224"/>
      <c r="G62" s="224"/>
      <c r="H62" s="224"/>
      <c r="I62" s="224"/>
      <c r="J62" s="224"/>
      <c r="K62" s="224"/>
      <c r="L62" s="224"/>
      <c r="M62" s="224"/>
    </row>
    <row r="63" customFormat="false" ht="15.75" hidden="false" customHeight="true" outlineLevel="0" collapsed="false">
      <c r="A63" s="224"/>
      <c r="B63" s="224"/>
      <c r="C63" s="224"/>
      <c r="D63" s="224"/>
      <c r="E63" s="224"/>
      <c r="F63" s="224"/>
      <c r="G63" s="224"/>
      <c r="H63" s="224"/>
      <c r="I63" s="224"/>
      <c r="J63" s="224"/>
      <c r="K63" s="224"/>
      <c r="L63" s="224"/>
      <c r="M63" s="224"/>
    </row>
    <row r="64" customFormat="false" ht="15.75" hidden="false" customHeight="true" outlineLevel="0" collapsed="false">
      <c r="A64" s="224"/>
      <c r="B64" s="224"/>
      <c r="C64" s="224"/>
      <c r="D64" s="224"/>
      <c r="E64" s="224"/>
      <c r="F64" s="224"/>
      <c r="G64" s="224"/>
      <c r="H64" s="224"/>
      <c r="I64" s="224"/>
      <c r="J64" s="224"/>
      <c r="K64" s="224"/>
      <c r="L64" s="224"/>
      <c r="M64" s="224"/>
    </row>
    <row r="65" customFormat="false" ht="15.75" hidden="false" customHeight="true" outlineLevel="0" collapsed="false">
      <c r="A65" s="224"/>
      <c r="B65" s="224"/>
      <c r="C65" s="224"/>
      <c r="D65" s="224"/>
      <c r="E65" s="224"/>
      <c r="F65" s="224"/>
      <c r="G65" s="224"/>
      <c r="H65" s="224"/>
      <c r="I65" s="224"/>
      <c r="J65" s="224"/>
      <c r="K65" s="224"/>
      <c r="L65" s="224"/>
      <c r="M65" s="224"/>
    </row>
    <row r="66" customFormat="false" ht="15.75" hidden="false" customHeight="true" outlineLevel="0" collapsed="false">
      <c r="A66" s="224"/>
      <c r="B66" s="224"/>
      <c r="C66" s="224"/>
      <c r="D66" s="224"/>
      <c r="E66" s="224"/>
      <c r="F66" s="224"/>
      <c r="G66" s="224"/>
      <c r="H66" s="224"/>
      <c r="I66" s="224"/>
      <c r="J66" s="224"/>
      <c r="K66" s="224"/>
      <c r="L66" s="224"/>
      <c r="M66" s="224"/>
    </row>
    <row r="67" customFormat="false" ht="15.75" hidden="false" customHeight="true" outlineLevel="0" collapsed="false">
      <c r="A67" s="224"/>
      <c r="B67" s="224"/>
      <c r="C67" s="224"/>
      <c r="D67" s="224"/>
      <c r="E67" s="224"/>
      <c r="F67" s="224"/>
      <c r="G67" s="224"/>
      <c r="H67" s="224"/>
      <c r="I67" s="224"/>
      <c r="J67" s="224"/>
      <c r="K67" s="224"/>
      <c r="L67" s="224"/>
      <c r="M67" s="224"/>
    </row>
    <row r="68" customFormat="false" ht="15.75" hidden="false" customHeight="true" outlineLevel="0" collapsed="false">
      <c r="A68" s="224"/>
      <c r="B68" s="224"/>
      <c r="C68" s="224"/>
      <c r="D68" s="224"/>
      <c r="E68" s="224"/>
      <c r="F68" s="224"/>
      <c r="G68" s="224"/>
      <c r="H68" s="224"/>
      <c r="I68" s="224"/>
      <c r="J68" s="224"/>
      <c r="K68" s="224"/>
      <c r="L68" s="224"/>
      <c r="M68" s="224"/>
    </row>
    <row r="69" customFormat="false" ht="15.75" hidden="false" customHeight="true" outlineLevel="0" collapsed="false">
      <c r="A69" s="224"/>
      <c r="B69" s="224"/>
      <c r="C69" s="224"/>
      <c r="D69" s="224"/>
      <c r="E69" s="224"/>
      <c r="F69" s="224"/>
      <c r="G69" s="224"/>
      <c r="H69" s="224"/>
      <c r="I69" s="224"/>
      <c r="J69" s="224"/>
      <c r="K69" s="224"/>
      <c r="L69" s="224"/>
      <c r="M69" s="224"/>
    </row>
    <row r="70" customFormat="false" ht="15.75" hidden="false" customHeight="true" outlineLevel="0" collapsed="false">
      <c r="A70" s="224"/>
      <c r="B70" s="224"/>
      <c r="C70" s="224"/>
      <c r="D70" s="224"/>
      <c r="E70" s="224"/>
      <c r="F70" s="224"/>
      <c r="G70" s="224"/>
      <c r="H70" s="224"/>
      <c r="I70" s="224"/>
      <c r="J70" s="224"/>
      <c r="K70" s="224"/>
      <c r="L70" s="224"/>
      <c r="M70" s="224"/>
    </row>
    <row r="71" customFormat="false" ht="15.75" hidden="false" customHeight="true" outlineLevel="0" collapsed="false">
      <c r="A71" s="224"/>
      <c r="B71" s="224"/>
      <c r="C71" s="224"/>
      <c r="D71" s="224"/>
      <c r="E71" s="224"/>
      <c r="F71" s="224"/>
      <c r="G71" s="224"/>
      <c r="H71" s="224"/>
      <c r="I71" s="224"/>
      <c r="J71" s="224"/>
      <c r="K71" s="224"/>
      <c r="L71" s="224"/>
      <c r="M71" s="224"/>
    </row>
    <row r="72" customFormat="false" ht="15.75" hidden="false" customHeight="true" outlineLevel="0" collapsed="false">
      <c r="A72" s="224"/>
      <c r="B72" s="224"/>
      <c r="C72" s="224"/>
      <c r="D72" s="224"/>
      <c r="E72" s="224"/>
      <c r="F72" s="224"/>
      <c r="G72" s="224"/>
      <c r="H72" s="224"/>
      <c r="I72" s="224"/>
      <c r="J72" s="224"/>
      <c r="K72" s="224"/>
      <c r="L72" s="224"/>
      <c r="M72" s="224"/>
    </row>
    <row r="73" customFormat="false" ht="15.75" hidden="false" customHeight="true" outlineLevel="0" collapsed="false">
      <c r="A73" s="224"/>
      <c r="B73" s="224"/>
      <c r="C73" s="224"/>
      <c r="D73" s="224"/>
      <c r="E73" s="224"/>
      <c r="F73" s="224"/>
      <c r="G73" s="224"/>
      <c r="H73" s="224"/>
      <c r="I73" s="224"/>
      <c r="J73" s="224"/>
      <c r="K73" s="224"/>
      <c r="L73" s="224"/>
      <c r="M73" s="224"/>
    </row>
    <row r="74" customFormat="false" ht="15.75" hidden="false" customHeight="true" outlineLevel="0" collapsed="false">
      <c r="A74" s="224"/>
      <c r="B74" s="224"/>
      <c r="C74" s="224"/>
      <c r="D74" s="224"/>
      <c r="E74" s="224"/>
      <c r="F74" s="224"/>
      <c r="G74" s="224"/>
      <c r="H74" s="224"/>
      <c r="I74" s="224"/>
      <c r="J74" s="224"/>
      <c r="K74" s="224"/>
      <c r="L74" s="224"/>
      <c r="M74" s="224"/>
    </row>
    <row r="75" customFormat="false" ht="15.75" hidden="false" customHeight="true" outlineLevel="0" collapsed="false">
      <c r="A75" s="224"/>
      <c r="B75" s="224"/>
      <c r="C75" s="224"/>
      <c r="D75" s="224"/>
      <c r="E75" s="224"/>
      <c r="F75" s="224"/>
      <c r="G75" s="224"/>
      <c r="H75" s="224"/>
      <c r="I75" s="224"/>
      <c r="J75" s="224"/>
      <c r="K75" s="224"/>
      <c r="L75" s="224"/>
      <c r="M75" s="224"/>
    </row>
    <row r="76" customFormat="false" ht="15.75" hidden="false" customHeight="true" outlineLevel="0" collapsed="false">
      <c r="A76" s="224"/>
      <c r="B76" s="224"/>
      <c r="C76" s="224"/>
      <c r="D76" s="224"/>
      <c r="E76" s="224"/>
      <c r="F76" s="224"/>
      <c r="G76" s="224"/>
      <c r="H76" s="224"/>
      <c r="I76" s="224"/>
      <c r="J76" s="224"/>
      <c r="K76" s="224"/>
      <c r="L76" s="224"/>
      <c r="M76" s="224"/>
    </row>
    <row r="77" customFormat="false" ht="15.75" hidden="false" customHeight="true" outlineLevel="0" collapsed="false">
      <c r="A77" s="224"/>
      <c r="B77" s="224"/>
      <c r="C77" s="224"/>
      <c r="D77" s="224"/>
      <c r="E77" s="224"/>
      <c r="F77" s="224"/>
      <c r="G77" s="224"/>
      <c r="H77" s="224"/>
      <c r="I77" s="224"/>
      <c r="J77" s="224"/>
      <c r="K77" s="224"/>
      <c r="L77" s="224"/>
      <c r="M77" s="224"/>
    </row>
    <row r="78" customFormat="false" ht="15.75" hidden="false" customHeight="true" outlineLevel="0" collapsed="false">
      <c r="A78" s="224"/>
      <c r="B78" s="224"/>
      <c r="C78" s="224"/>
      <c r="D78" s="224"/>
      <c r="E78" s="224"/>
      <c r="F78" s="224"/>
      <c r="G78" s="224"/>
      <c r="H78" s="224"/>
      <c r="I78" s="224"/>
      <c r="J78" s="224"/>
      <c r="K78" s="224"/>
      <c r="L78" s="224"/>
      <c r="M78" s="224"/>
    </row>
    <row r="79" customFormat="false" ht="15.75" hidden="false" customHeight="true" outlineLevel="0" collapsed="false">
      <c r="A79" s="224"/>
      <c r="B79" s="224"/>
      <c r="C79" s="224"/>
      <c r="D79" s="224"/>
      <c r="E79" s="224"/>
      <c r="F79" s="224"/>
      <c r="G79" s="224"/>
      <c r="H79" s="224"/>
      <c r="I79" s="224"/>
      <c r="J79" s="224"/>
      <c r="K79" s="224"/>
      <c r="L79" s="224"/>
      <c r="M79" s="224"/>
    </row>
    <row r="80" customFormat="false" ht="15.75" hidden="false" customHeight="true" outlineLevel="0" collapsed="false">
      <c r="A80" s="224"/>
      <c r="B80" s="224"/>
      <c r="C80" s="224"/>
      <c r="D80" s="224"/>
      <c r="E80" s="224"/>
      <c r="F80" s="224"/>
      <c r="G80" s="224"/>
      <c r="H80" s="224"/>
      <c r="I80" s="224"/>
      <c r="J80" s="224"/>
      <c r="K80" s="224"/>
      <c r="L80" s="224"/>
      <c r="M80" s="224"/>
    </row>
    <row r="81" customFormat="false" ht="15.75" hidden="false" customHeight="true" outlineLevel="0" collapsed="false">
      <c r="A81" s="224"/>
      <c r="B81" s="224"/>
      <c r="C81" s="224"/>
      <c r="D81" s="224"/>
      <c r="E81" s="224"/>
      <c r="F81" s="224"/>
      <c r="G81" s="224"/>
      <c r="H81" s="224"/>
      <c r="I81" s="224"/>
      <c r="J81" s="224"/>
      <c r="K81" s="224"/>
      <c r="L81" s="224"/>
      <c r="M81" s="224"/>
    </row>
    <row r="82" customFormat="false" ht="15.75" hidden="false" customHeight="true" outlineLevel="0" collapsed="false">
      <c r="A82" s="224"/>
      <c r="B82" s="224"/>
      <c r="C82" s="224"/>
      <c r="D82" s="224"/>
      <c r="E82" s="224"/>
      <c r="F82" s="224"/>
      <c r="G82" s="224"/>
      <c r="H82" s="224"/>
      <c r="I82" s="224"/>
      <c r="J82" s="224"/>
      <c r="K82" s="224"/>
      <c r="L82" s="224"/>
      <c r="M82" s="224"/>
    </row>
    <row r="83" customFormat="false" ht="15.75" hidden="false" customHeight="true" outlineLevel="0" collapsed="false">
      <c r="A83" s="224"/>
      <c r="B83" s="224"/>
      <c r="C83" s="224"/>
      <c r="D83" s="224"/>
      <c r="E83" s="224"/>
      <c r="F83" s="224"/>
      <c r="G83" s="224"/>
      <c r="H83" s="224"/>
      <c r="I83" s="224"/>
      <c r="J83" s="224"/>
      <c r="K83" s="224"/>
      <c r="L83" s="224"/>
      <c r="M83" s="224"/>
    </row>
    <row r="84" customFormat="false" ht="15.75" hidden="false" customHeight="true" outlineLevel="0" collapsed="false">
      <c r="A84" s="224"/>
      <c r="B84" s="224"/>
      <c r="C84" s="224"/>
      <c r="D84" s="224"/>
      <c r="E84" s="224"/>
      <c r="F84" s="224"/>
      <c r="G84" s="224"/>
      <c r="H84" s="224"/>
      <c r="I84" s="224"/>
      <c r="J84" s="224"/>
      <c r="K84" s="224"/>
      <c r="L84" s="224"/>
      <c r="M84" s="224"/>
    </row>
    <row r="85" customFormat="false" ht="15.75" hidden="false" customHeight="true" outlineLevel="0" collapsed="false">
      <c r="A85" s="224"/>
      <c r="B85" s="224"/>
      <c r="C85" s="224"/>
      <c r="D85" s="224"/>
      <c r="E85" s="224"/>
      <c r="F85" s="224"/>
      <c r="G85" s="224"/>
      <c r="H85" s="224"/>
      <c r="I85" s="224"/>
      <c r="J85" s="224"/>
      <c r="K85" s="224"/>
      <c r="L85" s="224"/>
      <c r="M85" s="224"/>
    </row>
    <row r="86" customFormat="false" ht="15.75" hidden="false" customHeight="true" outlineLevel="0" collapsed="false">
      <c r="A86" s="224"/>
      <c r="B86" s="224"/>
      <c r="C86" s="224"/>
      <c r="D86" s="224"/>
      <c r="E86" s="224"/>
      <c r="F86" s="224"/>
      <c r="G86" s="224"/>
      <c r="H86" s="224"/>
      <c r="I86" s="224"/>
      <c r="J86" s="224"/>
      <c r="K86" s="224"/>
      <c r="L86" s="224"/>
      <c r="M86" s="224"/>
    </row>
    <row r="87" customFormat="false" ht="15.75" hidden="false" customHeight="true" outlineLevel="0" collapsed="false">
      <c r="A87" s="224"/>
      <c r="B87" s="224"/>
      <c r="C87" s="224"/>
      <c r="D87" s="224"/>
      <c r="E87" s="224"/>
      <c r="F87" s="224"/>
      <c r="G87" s="224"/>
      <c r="H87" s="224"/>
      <c r="I87" s="224"/>
      <c r="J87" s="224"/>
      <c r="K87" s="224"/>
      <c r="L87" s="224"/>
      <c r="M87" s="224"/>
    </row>
    <row r="88" customFormat="false" ht="15.75" hidden="false" customHeight="true" outlineLevel="0" collapsed="false">
      <c r="A88" s="224"/>
      <c r="B88" s="224"/>
      <c r="C88" s="224"/>
      <c r="D88" s="224"/>
      <c r="E88" s="224"/>
      <c r="F88" s="224"/>
      <c r="G88" s="224"/>
      <c r="H88" s="224"/>
      <c r="I88" s="224"/>
      <c r="J88" s="224"/>
      <c r="K88" s="224"/>
      <c r="L88" s="224"/>
      <c r="M88" s="224"/>
    </row>
    <row r="89" customFormat="false" ht="15.75" hidden="false" customHeight="true" outlineLevel="0" collapsed="false">
      <c r="A89" s="224"/>
      <c r="B89" s="224"/>
      <c r="C89" s="224"/>
      <c r="D89" s="224"/>
      <c r="E89" s="224"/>
      <c r="F89" s="224"/>
      <c r="G89" s="224"/>
      <c r="H89" s="224"/>
      <c r="I89" s="224"/>
      <c r="J89" s="224"/>
      <c r="K89" s="224"/>
      <c r="L89" s="224"/>
      <c r="M89" s="224"/>
    </row>
    <row r="90" customFormat="false" ht="15.75" hidden="false" customHeight="true" outlineLevel="0" collapsed="false">
      <c r="A90" s="224"/>
      <c r="B90" s="224"/>
      <c r="C90" s="224"/>
      <c r="D90" s="224"/>
      <c r="E90" s="224"/>
      <c r="F90" s="224"/>
      <c r="G90" s="224"/>
      <c r="H90" s="224"/>
      <c r="I90" s="224"/>
      <c r="J90" s="224"/>
      <c r="K90" s="224"/>
      <c r="L90" s="224"/>
      <c r="M90" s="224"/>
    </row>
    <row r="91" customFormat="false" ht="15.75" hidden="false" customHeight="true" outlineLevel="0" collapsed="false">
      <c r="A91" s="224"/>
      <c r="B91" s="224"/>
      <c r="C91" s="224"/>
      <c r="D91" s="224"/>
      <c r="E91" s="224"/>
      <c r="F91" s="224"/>
      <c r="G91" s="224"/>
      <c r="H91" s="224"/>
      <c r="I91" s="224"/>
      <c r="J91" s="224"/>
      <c r="K91" s="224"/>
      <c r="L91" s="224"/>
      <c r="M91" s="224"/>
    </row>
    <row r="92" customFormat="false" ht="15.75" hidden="false" customHeight="true" outlineLevel="0" collapsed="false">
      <c r="A92" s="224"/>
      <c r="B92" s="224"/>
      <c r="C92" s="224"/>
      <c r="D92" s="224"/>
      <c r="E92" s="224"/>
      <c r="F92" s="224"/>
      <c r="G92" s="224"/>
      <c r="H92" s="224"/>
      <c r="I92" s="224"/>
      <c r="J92" s="224"/>
      <c r="K92" s="224"/>
      <c r="L92" s="224"/>
      <c r="M92" s="224"/>
    </row>
    <row r="93" customFormat="false" ht="15.75" hidden="false" customHeight="true" outlineLevel="0" collapsed="false">
      <c r="A93" s="224"/>
      <c r="B93" s="224"/>
      <c r="C93" s="224"/>
      <c r="D93" s="224"/>
      <c r="E93" s="224"/>
      <c r="F93" s="224"/>
      <c r="G93" s="224"/>
      <c r="H93" s="224"/>
      <c r="I93" s="224"/>
      <c r="J93" s="224"/>
      <c r="K93" s="224"/>
      <c r="L93" s="224"/>
      <c r="M93" s="224"/>
    </row>
    <row r="94" customFormat="false" ht="15.75" hidden="false" customHeight="true" outlineLevel="0" collapsed="false">
      <c r="A94" s="224"/>
      <c r="B94" s="224"/>
      <c r="C94" s="224"/>
      <c r="D94" s="224"/>
      <c r="E94" s="224"/>
      <c r="F94" s="224"/>
      <c r="G94" s="224"/>
      <c r="H94" s="224"/>
      <c r="I94" s="224"/>
      <c r="J94" s="224"/>
      <c r="K94" s="224"/>
      <c r="L94" s="224"/>
      <c r="M94" s="224"/>
    </row>
    <row r="95" customFormat="false" ht="15.75" hidden="false" customHeight="true" outlineLevel="0" collapsed="false">
      <c r="A95" s="224"/>
      <c r="B95" s="224"/>
      <c r="C95" s="224"/>
      <c r="D95" s="224"/>
      <c r="E95" s="224"/>
      <c r="F95" s="224"/>
      <c r="G95" s="224"/>
      <c r="H95" s="224"/>
      <c r="I95" s="224"/>
      <c r="J95" s="224"/>
      <c r="K95" s="224"/>
      <c r="L95" s="224"/>
      <c r="M95" s="224"/>
    </row>
    <row r="96" customFormat="false" ht="15.75" hidden="false" customHeight="true" outlineLevel="0" collapsed="false">
      <c r="A96" s="224"/>
      <c r="B96" s="224"/>
      <c r="C96" s="224"/>
      <c r="D96" s="224"/>
      <c r="E96" s="224"/>
      <c r="F96" s="224"/>
      <c r="G96" s="224"/>
      <c r="H96" s="224"/>
      <c r="I96" s="224"/>
      <c r="J96" s="224"/>
      <c r="K96" s="224"/>
      <c r="L96" s="224"/>
      <c r="M96" s="224"/>
    </row>
    <row r="97" customFormat="false" ht="15.75" hidden="false" customHeight="true" outlineLevel="0" collapsed="false">
      <c r="A97" s="224"/>
      <c r="B97" s="224"/>
      <c r="C97" s="224"/>
      <c r="D97" s="224"/>
      <c r="E97" s="224"/>
      <c r="F97" s="224"/>
      <c r="G97" s="224"/>
      <c r="H97" s="224"/>
      <c r="I97" s="224"/>
      <c r="J97" s="224"/>
      <c r="K97" s="224"/>
      <c r="L97" s="224"/>
      <c r="M97" s="224"/>
    </row>
    <row r="98" customFormat="false" ht="15.75" hidden="false" customHeight="true" outlineLevel="0" collapsed="false">
      <c r="A98" s="224"/>
      <c r="B98" s="224"/>
      <c r="C98" s="224"/>
      <c r="D98" s="224"/>
      <c r="E98" s="224"/>
      <c r="F98" s="224"/>
      <c r="G98" s="224"/>
      <c r="H98" s="224"/>
      <c r="I98" s="224"/>
      <c r="J98" s="224"/>
      <c r="K98" s="224"/>
      <c r="L98" s="224"/>
      <c r="M98" s="224"/>
    </row>
    <row r="99" customFormat="false" ht="15.75" hidden="false" customHeight="true" outlineLevel="0" collapsed="false">
      <c r="A99" s="224"/>
      <c r="B99" s="224"/>
      <c r="C99" s="224"/>
      <c r="D99" s="224"/>
      <c r="E99" s="224"/>
      <c r="F99" s="224"/>
      <c r="G99" s="224"/>
      <c r="H99" s="224"/>
      <c r="I99" s="224"/>
      <c r="J99" s="224"/>
      <c r="K99" s="224"/>
      <c r="L99" s="224"/>
      <c r="M99" s="224"/>
    </row>
    <row r="100" customFormat="false" ht="15.75" hidden="false" customHeight="true" outlineLevel="0" collapsed="false">
      <c r="A100" s="224"/>
      <c r="B100" s="224"/>
      <c r="C100" s="224"/>
      <c r="D100" s="224"/>
      <c r="E100" s="224"/>
      <c r="F100" s="224"/>
      <c r="G100" s="224"/>
      <c r="H100" s="224"/>
      <c r="I100" s="224"/>
      <c r="J100" s="224"/>
      <c r="K100" s="224"/>
      <c r="L100" s="224"/>
      <c r="M100" s="224"/>
    </row>
    <row r="101" customFormat="false" ht="15.75" hidden="false" customHeight="true" outlineLevel="0" collapsed="false">
      <c r="A101" s="224"/>
      <c r="B101" s="224"/>
      <c r="C101" s="224"/>
      <c r="D101" s="224"/>
      <c r="E101" s="224"/>
      <c r="F101" s="224"/>
      <c r="G101" s="224"/>
      <c r="H101" s="224"/>
      <c r="I101" s="224"/>
      <c r="J101" s="224"/>
      <c r="K101" s="224"/>
      <c r="L101" s="224"/>
      <c r="M101" s="224"/>
    </row>
    <row r="102" customFormat="false" ht="15.75" hidden="false" customHeight="true" outlineLevel="0" collapsed="false">
      <c r="A102" s="224"/>
      <c r="B102" s="224"/>
      <c r="C102" s="224"/>
      <c r="D102" s="224"/>
      <c r="E102" s="224"/>
      <c r="F102" s="224"/>
      <c r="G102" s="224"/>
      <c r="H102" s="224"/>
      <c r="I102" s="224"/>
      <c r="J102" s="224"/>
      <c r="K102" s="224"/>
      <c r="L102" s="224"/>
      <c r="M102" s="224"/>
    </row>
    <row r="103" customFormat="false" ht="15.75" hidden="false" customHeight="true" outlineLevel="0" collapsed="false">
      <c r="A103" s="224"/>
      <c r="B103" s="224"/>
      <c r="C103" s="224"/>
      <c r="D103" s="224"/>
      <c r="E103" s="224"/>
      <c r="F103" s="224"/>
      <c r="G103" s="224"/>
      <c r="H103" s="224"/>
      <c r="I103" s="224"/>
      <c r="J103" s="224"/>
      <c r="K103" s="224"/>
      <c r="L103" s="224"/>
      <c r="M103" s="224"/>
    </row>
    <row r="104" customFormat="false" ht="15.75" hidden="false" customHeight="true" outlineLevel="0" collapsed="false">
      <c r="A104" s="224"/>
      <c r="B104" s="224"/>
      <c r="C104" s="224"/>
      <c r="D104" s="224"/>
      <c r="E104" s="224"/>
      <c r="F104" s="224"/>
      <c r="G104" s="224"/>
      <c r="H104" s="224"/>
      <c r="I104" s="224"/>
      <c r="J104" s="224"/>
      <c r="K104" s="224"/>
      <c r="L104" s="224"/>
      <c r="M104" s="224"/>
    </row>
    <row r="105" customFormat="false" ht="15.75" hidden="false" customHeight="true" outlineLevel="0" collapsed="false">
      <c r="A105" s="224"/>
      <c r="B105" s="224"/>
      <c r="C105" s="224"/>
      <c r="D105" s="224"/>
      <c r="E105" s="224"/>
      <c r="F105" s="224"/>
      <c r="G105" s="224"/>
      <c r="H105" s="224"/>
      <c r="I105" s="224"/>
      <c r="J105" s="224"/>
      <c r="K105" s="224"/>
      <c r="L105" s="224"/>
      <c r="M105" s="224"/>
    </row>
    <row r="106" customFormat="false" ht="15.75" hidden="false" customHeight="true" outlineLevel="0" collapsed="false">
      <c r="A106" s="224"/>
      <c r="B106" s="224"/>
      <c r="C106" s="224"/>
      <c r="D106" s="224"/>
      <c r="E106" s="224"/>
      <c r="F106" s="224"/>
      <c r="G106" s="224"/>
      <c r="H106" s="224"/>
      <c r="I106" s="224"/>
      <c r="J106" s="224"/>
      <c r="K106" s="224"/>
      <c r="L106" s="224"/>
      <c r="M106" s="224"/>
    </row>
    <row r="107" customFormat="false" ht="15.75" hidden="false" customHeight="true" outlineLevel="0" collapsed="false">
      <c r="A107" s="224"/>
      <c r="B107" s="224"/>
      <c r="C107" s="224"/>
      <c r="D107" s="224"/>
      <c r="E107" s="224"/>
      <c r="F107" s="224"/>
      <c r="G107" s="224"/>
      <c r="H107" s="224"/>
      <c r="I107" s="224"/>
      <c r="J107" s="224"/>
      <c r="K107" s="224"/>
      <c r="L107" s="224"/>
      <c r="M107" s="224"/>
    </row>
    <row r="108" customFormat="false" ht="15.75" hidden="false" customHeight="true" outlineLevel="0" collapsed="false">
      <c r="A108" s="224"/>
      <c r="B108" s="224"/>
      <c r="C108" s="224"/>
      <c r="D108" s="224"/>
      <c r="E108" s="224"/>
      <c r="F108" s="224"/>
      <c r="G108" s="224"/>
      <c r="H108" s="224"/>
      <c r="I108" s="224"/>
      <c r="J108" s="224"/>
      <c r="K108" s="224"/>
      <c r="L108" s="224"/>
      <c r="M108" s="224"/>
    </row>
    <row r="109" customFormat="false" ht="15.75" hidden="false" customHeight="true" outlineLevel="0" collapsed="false">
      <c r="A109" s="224"/>
      <c r="B109" s="224"/>
      <c r="C109" s="224"/>
      <c r="D109" s="224"/>
      <c r="E109" s="224"/>
      <c r="F109" s="224"/>
      <c r="G109" s="224"/>
      <c r="H109" s="224"/>
      <c r="I109" s="224"/>
      <c r="J109" s="224"/>
      <c r="K109" s="224"/>
      <c r="L109" s="224"/>
      <c r="M109" s="224"/>
    </row>
    <row r="110" customFormat="false" ht="15.75" hidden="false" customHeight="true" outlineLevel="0" collapsed="false">
      <c r="A110" s="224"/>
      <c r="B110" s="224"/>
      <c r="C110" s="224"/>
      <c r="D110" s="224"/>
      <c r="E110" s="224"/>
      <c r="F110" s="224"/>
      <c r="G110" s="224"/>
      <c r="H110" s="224"/>
      <c r="I110" s="224"/>
      <c r="J110" s="224"/>
      <c r="K110" s="224"/>
      <c r="L110" s="224"/>
      <c r="M110" s="224"/>
    </row>
    <row r="111" customFormat="false" ht="15.75" hidden="false" customHeight="true" outlineLevel="0" collapsed="false">
      <c r="A111" s="224"/>
      <c r="B111" s="224"/>
      <c r="C111" s="224"/>
      <c r="D111" s="224"/>
      <c r="E111" s="224"/>
      <c r="F111" s="224"/>
      <c r="G111" s="224"/>
      <c r="H111" s="224"/>
      <c r="I111" s="224"/>
      <c r="J111" s="224"/>
      <c r="K111" s="224"/>
      <c r="L111" s="224"/>
      <c r="M111" s="224"/>
    </row>
    <row r="112" customFormat="false" ht="15.75" hidden="false" customHeight="true" outlineLevel="0" collapsed="false">
      <c r="A112" s="224"/>
      <c r="B112" s="224"/>
      <c r="C112" s="224"/>
      <c r="D112" s="224"/>
      <c r="E112" s="224"/>
      <c r="F112" s="224"/>
      <c r="G112" s="224"/>
      <c r="H112" s="224"/>
      <c r="I112" s="224"/>
      <c r="J112" s="224"/>
      <c r="K112" s="224"/>
      <c r="L112" s="224"/>
      <c r="M112" s="224"/>
    </row>
    <row r="113" customFormat="false" ht="15.75" hidden="false" customHeight="true" outlineLevel="0" collapsed="false">
      <c r="A113" s="224"/>
      <c r="B113" s="224"/>
      <c r="C113" s="224"/>
      <c r="D113" s="224"/>
      <c r="E113" s="224"/>
      <c r="F113" s="224"/>
      <c r="G113" s="224"/>
      <c r="H113" s="224"/>
      <c r="I113" s="224"/>
      <c r="J113" s="224"/>
      <c r="K113" s="224"/>
      <c r="L113" s="224"/>
      <c r="M113" s="224"/>
    </row>
    <row r="114" customFormat="false" ht="15.75" hidden="false" customHeight="true" outlineLevel="0" collapsed="false">
      <c r="A114" s="224"/>
      <c r="B114" s="224"/>
      <c r="C114" s="224"/>
      <c r="D114" s="224"/>
      <c r="E114" s="224"/>
      <c r="F114" s="224"/>
      <c r="G114" s="224"/>
      <c r="H114" s="224"/>
      <c r="I114" s="224"/>
      <c r="J114" s="224"/>
      <c r="K114" s="224"/>
      <c r="L114" s="224"/>
      <c r="M114" s="224"/>
    </row>
    <row r="115" customFormat="false" ht="15.75" hidden="false" customHeight="true" outlineLevel="0" collapsed="false">
      <c r="A115" s="224"/>
      <c r="B115" s="224"/>
      <c r="C115" s="224"/>
      <c r="D115" s="224"/>
      <c r="E115" s="224"/>
      <c r="F115" s="224"/>
      <c r="G115" s="224"/>
      <c r="H115" s="224"/>
      <c r="I115" s="224"/>
      <c r="J115" s="224"/>
      <c r="K115" s="224"/>
      <c r="L115" s="224"/>
      <c r="M115" s="224"/>
    </row>
    <row r="116" customFormat="false" ht="15.75" hidden="false" customHeight="true" outlineLevel="0" collapsed="false">
      <c r="A116" s="224"/>
      <c r="B116" s="224"/>
      <c r="C116" s="224"/>
      <c r="D116" s="224"/>
      <c r="E116" s="224"/>
      <c r="F116" s="224"/>
      <c r="G116" s="224"/>
      <c r="H116" s="224"/>
      <c r="I116" s="224"/>
      <c r="J116" s="224"/>
      <c r="K116" s="224"/>
      <c r="L116" s="224"/>
      <c r="M116" s="224"/>
    </row>
    <row r="117" customFormat="false" ht="15.75" hidden="false" customHeight="true" outlineLevel="0" collapsed="false">
      <c r="A117" s="224"/>
      <c r="B117" s="224"/>
      <c r="C117" s="224"/>
      <c r="D117" s="224"/>
      <c r="E117" s="224"/>
      <c r="F117" s="224"/>
      <c r="G117" s="224"/>
      <c r="H117" s="224"/>
      <c r="I117" s="224"/>
      <c r="J117" s="224"/>
      <c r="K117" s="224"/>
      <c r="L117" s="224"/>
      <c r="M117" s="224"/>
    </row>
    <row r="118" customFormat="false" ht="15.75" hidden="false" customHeight="true" outlineLevel="0" collapsed="false">
      <c r="A118" s="224"/>
      <c r="B118" s="224"/>
      <c r="C118" s="224"/>
      <c r="D118" s="224"/>
      <c r="E118" s="224"/>
      <c r="F118" s="224"/>
      <c r="G118" s="224"/>
      <c r="H118" s="224"/>
      <c r="I118" s="224"/>
      <c r="J118" s="224"/>
      <c r="K118" s="224"/>
      <c r="L118" s="224"/>
      <c r="M118" s="224"/>
    </row>
    <row r="119" customFormat="false" ht="15.75" hidden="false" customHeight="true" outlineLevel="0" collapsed="false">
      <c r="A119" s="224"/>
      <c r="B119" s="224"/>
      <c r="C119" s="224"/>
      <c r="D119" s="224"/>
      <c r="E119" s="224"/>
      <c r="F119" s="224"/>
      <c r="G119" s="224"/>
      <c r="H119" s="224"/>
      <c r="I119" s="224"/>
      <c r="J119" s="224"/>
      <c r="K119" s="224"/>
      <c r="L119" s="224"/>
      <c r="M119" s="224"/>
    </row>
    <row r="120" customFormat="false" ht="15.75" hidden="false" customHeight="true" outlineLevel="0" collapsed="false">
      <c r="A120" s="224"/>
      <c r="B120" s="224"/>
      <c r="C120" s="224"/>
      <c r="D120" s="224"/>
      <c r="E120" s="224"/>
      <c r="F120" s="224"/>
      <c r="G120" s="224"/>
      <c r="H120" s="224"/>
      <c r="I120" s="224"/>
      <c r="J120" s="224"/>
      <c r="K120" s="224"/>
      <c r="L120" s="224"/>
      <c r="M120" s="224"/>
    </row>
    <row r="121" customFormat="false" ht="15.75" hidden="false" customHeight="true" outlineLevel="0" collapsed="false">
      <c r="A121" s="224"/>
      <c r="B121" s="224"/>
      <c r="C121" s="224"/>
      <c r="D121" s="224"/>
      <c r="E121" s="224"/>
      <c r="F121" s="224"/>
      <c r="G121" s="224"/>
      <c r="H121" s="224"/>
      <c r="I121" s="224"/>
      <c r="J121" s="224"/>
      <c r="K121" s="224"/>
      <c r="L121" s="224"/>
      <c r="M121" s="224"/>
    </row>
    <row r="122" customFormat="false" ht="15.75" hidden="false" customHeight="true" outlineLevel="0" collapsed="false">
      <c r="A122" s="224"/>
      <c r="B122" s="224"/>
      <c r="C122" s="224"/>
      <c r="D122" s="224"/>
      <c r="E122" s="224"/>
      <c r="F122" s="224"/>
      <c r="G122" s="224"/>
      <c r="H122" s="224"/>
      <c r="I122" s="224"/>
      <c r="J122" s="224"/>
      <c r="K122" s="224"/>
      <c r="L122" s="224"/>
      <c r="M122" s="224"/>
    </row>
    <row r="123" customFormat="false" ht="15.75" hidden="false" customHeight="true" outlineLevel="0" collapsed="false">
      <c r="A123" s="224"/>
      <c r="B123" s="224"/>
      <c r="C123" s="224"/>
      <c r="D123" s="224"/>
      <c r="E123" s="224"/>
      <c r="F123" s="224"/>
      <c r="G123" s="224"/>
      <c r="H123" s="224"/>
      <c r="I123" s="224"/>
      <c r="J123" s="224"/>
      <c r="K123" s="224"/>
      <c r="L123" s="224"/>
      <c r="M123" s="224"/>
    </row>
    <row r="124" customFormat="false" ht="15.75" hidden="false" customHeight="true" outlineLevel="0" collapsed="false">
      <c r="A124" s="224"/>
      <c r="B124" s="224"/>
      <c r="C124" s="224"/>
      <c r="D124" s="224"/>
      <c r="E124" s="224"/>
      <c r="F124" s="224"/>
      <c r="G124" s="224"/>
      <c r="H124" s="224"/>
      <c r="I124" s="224"/>
      <c r="J124" s="224"/>
      <c r="K124" s="224"/>
      <c r="L124" s="224"/>
      <c r="M124" s="224"/>
    </row>
    <row r="125" customFormat="false" ht="15.75" hidden="false" customHeight="true" outlineLevel="0" collapsed="false">
      <c r="A125" s="224"/>
      <c r="B125" s="224"/>
      <c r="C125" s="224"/>
      <c r="D125" s="224"/>
      <c r="E125" s="224"/>
      <c r="F125" s="224"/>
      <c r="G125" s="224"/>
      <c r="H125" s="224"/>
      <c r="I125" s="224"/>
      <c r="J125" s="224"/>
      <c r="K125" s="224"/>
      <c r="L125" s="224"/>
      <c r="M125" s="224"/>
    </row>
    <row r="126" customFormat="false" ht="15.75" hidden="false" customHeight="true" outlineLevel="0" collapsed="false">
      <c r="A126" s="224"/>
      <c r="B126" s="224"/>
      <c r="C126" s="224"/>
      <c r="D126" s="224"/>
      <c r="E126" s="224"/>
      <c r="F126" s="224"/>
      <c r="G126" s="224"/>
      <c r="H126" s="224"/>
      <c r="I126" s="224"/>
      <c r="J126" s="224"/>
      <c r="K126" s="224"/>
      <c r="L126" s="224"/>
      <c r="M126" s="224"/>
    </row>
    <row r="127" customFormat="false" ht="15.75" hidden="false" customHeight="true" outlineLevel="0" collapsed="false">
      <c r="A127" s="224"/>
      <c r="B127" s="224"/>
      <c r="C127" s="224"/>
      <c r="D127" s="224"/>
      <c r="E127" s="224"/>
      <c r="F127" s="224"/>
      <c r="G127" s="224"/>
      <c r="H127" s="224"/>
      <c r="I127" s="224"/>
      <c r="J127" s="224"/>
      <c r="K127" s="224"/>
      <c r="L127" s="224"/>
      <c r="M127" s="224"/>
    </row>
    <row r="128" customFormat="false" ht="15.75" hidden="false" customHeight="true" outlineLevel="0" collapsed="false">
      <c r="A128" s="224"/>
      <c r="B128" s="224"/>
      <c r="C128" s="224"/>
      <c r="D128" s="224"/>
      <c r="E128" s="224"/>
      <c r="F128" s="224"/>
      <c r="G128" s="224"/>
      <c r="H128" s="224"/>
      <c r="I128" s="224"/>
      <c r="J128" s="224"/>
      <c r="K128" s="224"/>
      <c r="L128" s="224"/>
      <c r="M128" s="224"/>
    </row>
    <row r="129" customFormat="false" ht="15.75" hidden="false" customHeight="true" outlineLevel="0" collapsed="false">
      <c r="A129" s="224"/>
      <c r="B129" s="224"/>
      <c r="C129" s="224"/>
      <c r="D129" s="224"/>
      <c r="E129" s="224"/>
      <c r="F129" s="224"/>
      <c r="G129" s="224"/>
      <c r="H129" s="224"/>
      <c r="I129" s="224"/>
      <c r="J129" s="224"/>
      <c r="K129" s="224"/>
      <c r="L129" s="224"/>
      <c r="M129" s="224"/>
    </row>
    <row r="130" customFormat="false" ht="15.75" hidden="false" customHeight="true" outlineLevel="0" collapsed="false">
      <c r="A130" s="224"/>
      <c r="B130" s="224"/>
      <c r="C130" s="224"/>
      <c r="D130" s="224"/>
      <c r="E130" s="224"/>
      <c r="F130" s="224"/>
      <c r="G130" s="224"/>
      <c r="H130" s="224"/>
      <c r="I130" s="224"/>
      <c r="J130" s="224"/>
      <c r="K130" s="224"/>
      <c r="L130" s="224"/>
      <c r="M130" s="224"/>
    </row>
    <row r="131" customFormat="false" ht="15.75" hidden="false" customHeight="true" outlineLevel="0" collapsed="false">
      <c r="A131" s="224"/>
      <c r="B131" s="224"/>
      <c r="C131" s="224"/>
      <c r="D131" s="224"/>
      <c r="E131" s="224"/>
      <c r="F131" s="224"/>
      <c r="G131" s="224"/>
      <c r="H131" s="224"/>
      <c r="I131" s="224"/>
      <c r="J131" s="224"/>
      <c r="K131" s="224"/>
      <c r="L131" s="224"/>
      <c r="M131" s="224"/>
    </row>
    <row r="132" customFormat="false" ht="15.75" hidden="false" customHeight="true" outlineLevel="0" collapsed="false">
      <c r="A132" s="224"/>
      <c r="B132" s="224"/>
      <c r="C132" s="224"/>
      <c r="D132" s="224"/>
      <c r="E132" s="224"/>
      <c r="F132" s="224"/>
      <c r="G132" s="224"/>
      <c r="H132" s="224"/>
      <c r="I132" s="224"/>
      <c r="J132" s="224"/>
      <c r="K132" s="224"/>
      <c r="L132" s="224"/>
      <c r="M132" s="224"/>
    </row>
    <row r="133" customFormat="false" ht="15.75" hidden="false" customHeight="true" outlineLevel="0" collapsed="false">
      <c r="A133" s="224"/>
      <c r="B133" s="224"/>
      <c r="C133" s="224"/>
      <c r="D133" s="224"/>
      <c r="E133" s="224"/>
      <c r="F133" s="224"/>
      <c r="G133" s="224"/>
      <c r="H133" s="224"/>
      <c r="I133" s="224"/>
      <c r="J133" s="224"/>
      <c r="K133" s="224"/>
      <c r="L133" s="224"/>
      <c r="M133" s="224"/>
    </row>
    <row r="134" customFormat="false" ht="15.75" hidden="false" customHeight="true" outlineLevel="0" collapsed="false">
      <c r="A134" s="224"/>
      <c r="B134" s="224"/>
      <c r="C134" s="224"/>
      <c r="D134" s="224"/>
      <c r="E134" s="224"/>
      <c r="F134" s="224"/>
      <c r="G134" s="224"/>
      <c r="H134" s="224"/>
      <c r="I134" s="224"/>
      <c r="J134" s="224"/>
      <c r="K134" s="224"/>
      <c r="L134" s="224"/>
      <c r="M134" s="224"/>
    </row>
    <row r="135" customFormat="false" ht="15.75" hidden="false" customHeight="true" outlineLevel="0" collapsed="false">
      <c r="A135" s="224"/>
      <c r="B135" s="224"/>
      <c r="C135" s="224"/>
      <c r="D135" s="224"/>
      <c r="E135" s="224"/>
      <c r="F135" s="224"/>
      <c r="G135" s="224"/>
      <c r="H135" s="224"/>
      <c r="I135" s="224"/>
      <c r="J135" s="224"/>
      <c r="K135" s="224"/>
      <c r="L135" s="224"/>
      <c r="M135" s="224"/>
    </row>
    <row r="136" customFormat="false" ht="15.75" hidden="false" customHeight="true" outlineLevel="0" collapsed="false">
      <c r="A136" s="224"/>
      <c r="B136" s="224"/>
      <c r="C136" s="224"/>
      <c r="D136" s="224"/>
      <c r="E136" s="224"/>
      <c r="F136" s="224"/>
      <c r="G136" s="224"/>
      <c r="H136" s="224"/>
      <c r="I136" s="224"/>
      <c r="J136" s="224"/>
      <c r="K136" s="224"/>
      <c r="L136" s="224"/>
      <c r="M136" s="224"/>
    </row>
    <row r="137" customFormat="false" ht="15.75" hidden="false" customHeight="true" outlineLevel="0" collapsed="false">
      <c r="A137" s="224"/>
      <c r="B137" s="224"/>
      <c r="C137" s="224"/>
      <c r="D137" s="224"/>
      <c r="E137" s="224"/>
      <c r="F137" s="224"/>
      <c r="G137" s="224"/>
      <c r="H137" s="224"/>
      <c r="I137" s="224"/>
      <c r="J137" s="224"/>
      <c r="K137" s="224"/>
      <c r="L137" s="224"/>
      <c r="M137" s="224"/>
    </row>
  </sheetData>
  <mergeCells count="10">
    <mergeCell ref="B2:K2"/>
    <mergeCell ref="B3:K3"/>
    <mergeCell ref="B5:K5"/>
    <mergeCell ref="B6:D6"/>
    <mergeCell ref="E6:G6"/>
    <mergeCell ref="B15:M15"/>
    <mergeCell ref="B24:K24"/>
    <mergeCell ref="B33:K33"/>
    <mergeCell ref="B59:K59"/>
    <mergeCell ref="B60:K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8A020"/>
    <pageSetUpPr fitToPage="fals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24" activePane="bottomRight" state="frozen"/>
      <selection pane="topLeft" activeCell="A1" activeCellId="0" sqref="A1"/>
      <selection pane="topRight" activeCell="B1" activeCellId="0" sqref="B1"/>
      <selection pane="bottomLeft" activeCell="A24" activeCellId="0" sqref="A24"/>
      <selection pane="bottomRight" activeCell="B28" activeCellId="0" sqref="B28"/>
    </sheetView>
  </sheetViews>
  <sheetFormatPr defaultColWidth="8.66796875" defaultRowHeight="14.25" zeroHeight="false" outlineLevelRow="0" outlineLevelCol="0"/>
  <cols>
    <col collapsed="false" customWidth="true" hidden="false" outlineLevel="0" max="1" min="1" style="1" width="29.33"/>
    <col collapsed="false" customWidth="true" hidden="false" outlineLevel="0" max="2" min="2" style="1" width="24"/>
    <col collapsed="false" customWidth="true" hidden="false" outlineLevel="0" max="3" min="3" style="1" width="14"/>
    <col collapsed="false" customWidth="true" hidden="false" outlineLevel="0" max="4" min="4" style="1" width="22"/>
    <col collapsed="false" customWidth="true" hidden="false" outlineLevel="0" max="5" min="5" style="1" width="20"/>
    <col collapsed="false" customWidth="true" hidden="false" outlineLevel="0" max="6" min="6" style="1" width="14"/>
    <col collapsed="false" customWidth="true" hidden="false" outlineLevel="0" max="7" min="7" style="1" width="20"/>
    <col collapsed="false" customWidth="true" hidden="false" outlineLevel="0" max="8" min="8" style="1" width="30"/>
  </cols>
  <sheetData>
    <row r="1" customFormat="false" ht="48" hidden="false" customHeight="true" outlineLevel="0" collapsed="false">
      <c r="A1" s="2" t="s">
        <v>570</v>
      </c>
      <c r="B1" s="2"/>
      <c r="C1" s="2"/>
      <c r="D1" s="2"/>
      <c r="E1" s="2"/>
      <c r="F1" s="2"/>
      <c r="G1" s="2"/>
      <c r="H1" s="2"/>
    </row>
    <row r="2" customFormat="false" ht="19.5" hidden="false" customHeight="true" outlineLevel="0" collapsed="false">
      <c r="A2" s="3" t="s">
        <v>571</v>
      </c>
      <c r="B2" s="3"/>
      <c r="C2" s="3"/>
      <c r="D2" s="3"/>
      <c r="E2" s="3"/>
      <c r="F2" s="3"/>
      <c r="G2" s="3"/>
      <c r="H2" s="3"/>
    </row>
    <row r="4" customFormat="false" ht="21.75" hidden="false" customHeight="true" outlineLevel="0" collapsed="false">
      <c r="A4" s="168" t="s">
        <v>572</v>
      </c>
      <c r="B4" s="168"/>
      <c r="C4" s="168"/>
      <c r="D4" s="168"/>
      <c r="E4" s="168"/>
      <c r="F4" s="168"/>
      <c r="G4" s="168"/>
      <c r="H4" s="168"/>
    </row>
    <row r="5" customFormat="false" ht="30" hidden="false" customHeight="true" outlineLevel="0" collapsed="false">
      <c r="A5" s="19" t="s">
        <v>62</v>
      </c>
      <c r="B5" s="19" t="s">
        <v>573</v>
      </c>
      <c r="C5" s="19" t="s">
        <v>574</v>
      </c>
      <c r="D5" s="19" t="s">
        <v>575</v>
      </c>
      <c r="E5" s="19" t="s">
        <v>576</v>
      </c>
      <c r="F5" s="19" t="s">
        <v>413</v>
      </c>
      <c r="G5" s="19" t="s">
        <v>577</v>
      </c>
      <c r="H5" s="19" t="s">
        <v>578</v>
      </c>
    </row>
    <row r="6" customFormat="false" ht="30" hidden="false" customHeight="true" outlineLevel="0" collapsed="false">
      <c r="A6" s="260" t="n">
        <v>1</v>
      </c>
      <c r="B6" s="261" t="s">
        <v>579</v>
      </c>
      <c r="C6" s="261" t="s">
        <v>68</v>
      </c>
      <c r="D6" s="262" t="s">
        <v>580</v>
      </c>
      <c r="E6" s="261" t="s">
        <v>581</v>
      </c>
      <c r="F6" s="262" t="s">
        <v>582</v>
      </c>
      <c r="G6" s="262" t="s">
        <v>583</v>
      </c>
      <c r="H6" s="262" t="s">
        <v>584</v>
      </c>
    </row>
    <row r="7" customFormat="false" ht="30" hidden="false" customHeight="true" outlineLevel="0" collapsed="false">
      <c r="A7" s="260" t="n">
        <v>2</v>
      </c>
      <c r="B7" s="263" t="s">
        <v>579</v>
      </c>
      <c r="C7" s="263" t="s">
        <v>585</v>
      </c>
      <c r="D7" s="264" t="s">
        <v>586</v>
      </c>
      <c r="E7" s="263" t="s">
        <v>587</v>
      </c>
      <c r="F7" s="264" t="s">
        <v>582</v>
      </c>
      <c r="G7" s="264" t="s">
        <v>583</v>
      </c>
      <c r="H7" s="264" t="s">
        <v>588</v>
      </c>
    </row>
    <row r="8" customFormat="false" ht="30" hidden="false" customHeight="true" outlineLevel="0" collapsed="false">
      <c r="A8" s="260" t="n">
        <v>3</v>
      </c>
      <c r="B8" s="261" t="s">
        <v>589</v>
      </c>
      <c r="C8" s="261" t="s">
        <v>590</v>
      </c>
      <c r="D8" s="262" t="s">
        <v>591</v>
      </c>
      <c r="E8" s="261" t="s">
        <v>587</v>
      </c>
      <c r="F8" s="262" t="s">
        <v>93</v>
      </c>
      <c r="G8" s="262" t="s">
        <v>583</v>
      </c>
      <c r="H8" s="262" t="s">
        <v>592</v>
      </c>
    </row>
    <row r="9" customFormat="false" ht="30" hidden="false" customHeight="true" outlineLevel="0" collapsed="false">
      <c r="A9" s="260" t="n">
        <v>4</v>
      </c>
      <c r="B9" s="263" t="s">
        <v>593</v>
      </c>
      <c r="C9" s="263" t="s">
        <v>594</v>
      </c>
      <c r="D9" s="264" t="s">
        <v>595</v>
      </c>
      <c r="E9" s="263" t="s">
        <v>596</v>
      </c>
      <c r="F9" s="264" t="s">
        <v>597</v>
      </c>
      <c r="G9" s="264" t="s">
        <v>598</v>
      </c>
      <c r="H9" s="264" t="s">
        <v>599</v>
      </c>
    </row>
    <row r="10" customFormat="false" ht="30" hidden="false" customHeight="true" outlineLevel="0" collapsed="false">
      <c r="A10" s="260" t="n">
        <v>5</v>
      </c>
      <c r="B10" s="261" t="s">
        <v>600</v>
      </c>
      <c r="C10" s="261" t="s">
        <v>601</v>
      </c>
      <c r="D10" s="265" t="s">
        <v>602</v>
      </c>
      <c r="E10" s="261" t="s">
        <v>603</v>
      </c>
      <c r="F10" s="265" t="s">
        <v>604</v>
      </c>
      <c r="G10" s="265" t="s">
        <v>605</v>
      </c>
      <c r="H10" s="265" t="s">
        <v>606</v>
      </c>
    </row>
    <row r="11" customFormat="false" ht="30" hidden="false" customHeight="true" outlineLevel="0" collapsed="false">
      <c r="A11" s="260" t="n">
        <v>6</v>
      </c>
      <c r="B11" s="263" t="s">
        <v>607</v>
      </c>
      <c r="C11" s="263" t="s">
        <v>608</v>
      </c>
      <c r="D11" s="265" t="s">
        <v>602</v>
      </c>
      <c r="E11" s="263" t="s">
        <v>603</v>
      </c>
      <c r="F11" s="265" t="s">
        <v>399</v>
      </c>
      <c r="G11" s="265" t="s">
        <v>605</v>
      </c>
      <c r="H11" s="264" t="s">
        <v>609</v>
      </c>
    </row>
    <row r="12" customFormat="false" ht="30" hidden="false" customHeight="true" outlineLevel="0" collapsed="false">
      <c r="A12" s="260" t="n">
        <v>7</v>
      </c>
      <c r="B12" s="261" t="s">
        <v>610</v>
      </c>
      <c r="C12" s="261" t="s">
        <v>611</v>
      </c>
      <c r="D12" s="265" t="s">
        <v>612</v>
      </c>
      <c r="E12" s="261" t="s">
        <v>613</v>
      </c>
      <c r="F12" s="262" t="s">
        <v>360</v>
      </c>
      <c r="G12" s="262" t="s">
        <v>614</v>
      </c>
      <c r="H12" s="262" t="s">
        <v>615</v>
      </c>
    </row>
    <row r="13" customFormat="false" ht="30" hidden="false" customHeight="true" outlineLevel="0" collapsed="false">
      <c r="A13" s="260" t="n">
        <v>8</v>
      </c>
      <c r="B13" s="263" t="s">
        <v>616</v>
      </c>
      <c r="C13" s="263" t="s">
        <v>617</v>
      </c>
      <c r="D13" s="264" t="s">
        <v>618</v>
      </c>
      <c r="E13" s="263" t="s">
        <v>495</v>
      </c>
      <c r="F13" s="264" t="s">
        <v>619</v>
      </c>
      <c r="G13" s="265" t="s">
        <v>605</v>
      </c>
      <c r="H13" s="264" t="s">
        <v>620</v>
      </c>
    </row>
    <row r="14" customFormat="false" ht="30" hidden="false" customHeight="true" outlineLevel="0" collapsed="false">
      <c r="A14" s="260" t="n">
        <v>9</v>
      </c>
      <c r="B14" s="261" t="s">
        <v>621</v>
      </c>
      <c r="C14" s="261" t="s">
        <v>622</v>
      </c>
      <c r="D14" s="262" t="s">
        <v>623</v>
      </c>
      <c r="E14" s="261" t="s">
        <v>624</v>
      </c>
      <c r="F14" s="262" t="s">
        <v>93</v>
      </c>
      <c r="G14" s="262" t="s">
        <v>583</v>
      </c>
      <c r="H14" s="262" t="s">
        <v>625</v>
      </c>
    </row>
    <row r="15" customFormat="false" ht="25.5" hidden="false" customHeight="true" outlineLevel="0" collapsed="false">
      <c r="A15" s="266" t="n">
        <v>10</v>
      </c>
      <c r="B15" s="6" t="s">
        <v>626</v>
      </c>
      <c r="C15" s="6" t="s">
        <v>626</v>
      </c>
      <c r="D15" s="6" t="s">
        <v>626</v>
      </c>
      <c r="E15" s="6" t="s">
        <v>626</v>
      </c>
      <c r="F15" s="6" t="s">
        <v>626</v>
      </c>
      <c r="G15" s="6" t="s">
        <v>626</v>
      </c>
      <c r="H15" s="6" t="s">
        <v>626</v>
      </c>
    </row>
    <row r="16" customFormat="false" ht="25.5" hidden="false" customHeight="true" outlineLevel="0" collapsed="false">
      <c r="A16" s="266" t="n">
        <v>11</v>
      </c>
      <c r="B16" s="6" t="s">
        <v>626</v>
      </c>
      <c r="C16" s="6" t="s">
        <v>626</v>
      </c>
      <c r="D16" s="6" t="s">
        <v>626</v>
      </c>
      <c r="E16" s="6" t="s">
        <v>626</v>
      </c>
      <c r="F16" s="6" t="s">
        <v>626</v>
      </c>
      <c r="G16" s="6" t="s">
        <v>626</v>
      </c>
      <c r="H16" s="6" t="s">
        <v>626</v>
      </c>
    </row>
    <row r="17" customFormat="false" ht="25.5" hidden="false" customHeight="true" outlineLevel="0" collapsed="false">
      <c r="A17" s="266" t="n">
        <v>12</v>
      </c>
      <c r="B17" s="6" t="s">
        <v>626</v>
      </c>
      <c r="C17" s="6" t="s">
        <v>626</v>
      </c>
      <c r="D17" s="6" t="s">
        <v>626</v>
      </c>
      <c r="E17" s="6" t="s">
        <v>626</v>
      </c>
      <c r="F17" s="6" t="s">
        <v>626</v>
      </c>
      <c r="G17" s="6" t="s">
        <v>626</v>
      </c>
      <c r="H17" s="6" t="s">
        <v>626</v>
      </c>
    </row>
    <row r="18" customFormat="false" ht="25.5" hidden="false" customHeight="true" outlineLevel="0" collapsed="false">
      <c r="A18" s="266" t="n">
        <v>13</v>
      </c>
      <c r="B18" s="6" t="s">
        <v>626</v>
      </c>
      <c r="C18" s="6" t="s">
        <v>626</v>
      </c>
      <c r="D18" s="6" t="s">
        <v>626</v>
      </c>
      <c r="E18" s="6" t="s">
        <v>626</v>
      </c>
      <c r="F18" s="6" t="s">
        <v>626</v>
      </c>
      <c r="G18" s="6" t="s">
        <v>626</v>
      </c>
      <c r="H18" s="6" t="s">
        <v>626</v>
      </c>
    </row>
    <row r="19" customFormat="false" ht="25.5" hidden="false" customHeight="true" outlineLevel="0" collapsed="false">
      <c r="A19" s="266" t="n">
        <v>14</v>
      </c>
      <c r="B19" s="6" t="s">
        <v>626</v>
      </c>
      <c r="C19" s="6" t="s">
        <v>626</v>
      </c>
      <c r="D19" s="6" t="s">
        <v>626</v>
      </c>
      <c r="E19" s="6" t="s">
        <v>626</v>
      </c>
      <c r="F19" s="6" t="s">
        <v>626</v>
      </c>
      <c r="G19" s="6" t="s">
        <v>626</v>
      </c>
      <c r="H19" s="6" t="s">
        <v>626</v>
      </c>
    </row>
    <row r="20" customFormat="false" ht="25.5" hidden="false" customHeight="true" outlineLevel="0" collapsed="false">
      <c r="A20" s="266" t="n">
        <v>15</v>
      </c>
      <c r="B20" s="6" t="s">
        <v>626</v>
      </c>
      <c r="C20" s="6" t="s">
        <v>626</v>
      </c>
      <c r="D20" s="6" t="s">
        <v>626</v>
      </c>
      <c r="E20" s="6" t="s">
        <v>626</v>
      </c>
      <c r="F20" s="6" t="s">
        <v>626</v>
      </c>
      <c r="G20" s="6" t="s">
        <v>626</v>
      </c>
      <c r="H20" s="6" t="s">
        <v>626</v>
      </c>
    </row>
    <row r="21" customFormat="false" ht="25.5" hidden="false" customHeight="true" outlineLevel="0" collapsed="false">
      <c r="A21" s="266" t="n">
        <v>16</v>
      </c>
      <c r="B21" s="6" t="s">
        <v>626</v>
      </c>
      <c r="C21" s="6" t="s">
        <v>626</v>
      </c>
      <c r="D21" s="6" t="s">
        <v>626</v>
      </c>
      <c r="E21" s="6" t="s">
        <v>626</v>
      </c>
      <c r="F21" s="6" t="s">
        <v>626</v>
      </c>
      <c r="G21" s="6" t="s">
        <v>626</v>
      </c>
      <c r="H21" s="6" t="s">
        <v>626</v>
      </c>
    </row>
    <row r="22" customFormat="false" ht="25.5" hidden="false" customHeight="true" outlineLevel="0" collapsed="false">
      <c r="A22" s="266" t="n">
        <v>17</v>
      </c>
      <c r="B22" s="6" t="s">
        <v>626</v>
      </c>
      <c r="C22" s="6" t="s">
        <v>626</v>
      </c>
      <c r="D22" s="6" t="s">
        <v>626</v>
      </c>
      <c r="E22" s="6" t="s">
        <v>626</v>
      </c>
      <c r="F22" s="6" t="s">
        <v>626</v>
      </c>
      <c r="G22" s="6" t="s">
        <v>626</v>
      </c>
      <c r="H22" s="6" t="s">
        <v>626</v>
      </c>
    </row>
    <row r="25" customFormat="false" ht="21.75" hidden="false" customHeight="true" outlineLevel="0" collapsed="false">
      <c r="A25" s="4" t="s">
        <v>627</v>
      </c>
      <c r="B25" s="4"/>
      <c r="C25" s="4"/>
      <c r="D25" s="4"/>
      <c r="E25" s="4"/>
      <c r="F25" s="4"/>
      <c r="G25" s="4"/>
      <c r="H25" s="4"/>
    </row>
    <row r="26" customFormat="false" ht="27.75" hidden="false" customHeight="true" outlineLevel="0" collapsed="false">
      <c r="A26" s="191" t="s">
        <v>628</v>
      </c>
      <c r="B26" s="191" t="s">
        <v>629</v>
      </c>
      <c r="C26" s="191"/>
      <c r="D26" s="191"/>
      <c r="E26" s="191"/>
      <c r="F26" s="267"/>
      <c r="G26" s="267"/>
    </row>
    <row r="27" customFormat="false" ht="30" hidden="false" customHeight="true" outlineLevel="0" collapsed="false">
      <c r="A27" s="203" t="s">
        <v>630</v>
      </c>
      <c r="B27" s="265" t="s">
        <v>631</v>
      </c>
      <c r="C27" s="265"/>
      <c r="D27" s="265"/>
      <c r="E27" s="267"/>
      <c r="F27" s="267"/>
    </row>
    <row r="28" customFormat="false" ht="30" hidden="false" customHeight="true" outlineLevel="0" collapsed="false">
      <c r="A28" s="217" t="s">
        <v>632</v>
      </c>
      <c r="B28" s="265" t="s">
        <v>633</v>
      </c>
      <c r="C28" s="265"/>
      <c r="D28" s="265"/>
      <c r="E28" s="267"/>
      <c r="F28" s="267"/>
    </row>
    <row r="29" customFormat="false" ht="51.75" hidden="false" customHeight="true" outlineLevel="0" collapsed="false">
      <c r="A29" s="203" t="s">
        <v>634</v>
      </c>
      <c r="B29" s="265" t="s">
        <v>635</v>
      </c>
      <c r="C29" s="265"/>
      <c r="D29" s="265"/>
      <c r="E29" s="267"/>
      <c r="F29" s="267"/>
    </row>
    <row r="30" customFormat="false" ht="30" hidden="false" customHeight="true" outlineLevel="0" collapsed="false">
      <c r="A30" s="217" t="s">
        <v>636</v>
      </c>
      <c r="B30" s="265" t="s">
        <v>637</v>
      </c>
      <c r="C30" s="265"/>
      <c r="D30" s="265"/>
      <c r="E30" s="267"/>
      <c r="F30" s="267"/>
    </row>
    <row r="31" customFormat="false" ht="30" hidden="false" customHeight="true" outlineLevel="0" collapsed="false">
      <c r="A31" s="203" t="s">
        <v>638</v>
      </c>
      <c r="B31" s="265" t="s">
        <v>639</v>
      </c>
      <c r="C31" s="265"/>
      <c r="D31" s="265"/>
      <c r="E31" s="267"/>
      <c r="F31" s="267"/>
    </row>
    <row r="32" customFormat="false" ht="30" hidden="false" customHeight="true" outlineLevel="0" collapsed="false">
      <c r="A32" s="217" t="s">
        <v>640</v>
      </c>
      <c r="B32" s="265" t="s">
        <v>641</v>
      </c>
      <c r="C32" s="265"/>
      <c r="D32" s="265"/>
      <c r="E32" s="267"/>
      <c r="F32" s="267"/>
    </row>
    <row r="33" customFormat="false" ht="30" hidden="false" customHeight="true" outlineLevel="0" collapsed="false">
      <c r="A33" s="203" t="s">
        <v>642</v>
      </c>
      <c r="B33" s="265" t="s">
        <v>643</v>
      </c>
      <c r="C33" s="265"/>
      <c r="D33" s="265"/>
      <c r="E33" s="267"/>
      <c r="F33" s="267"/>
    </row>
  </sheetData>
  <mergeCells count="20">
    <mergeCell ref="A1:H1"/>
    <mergeCell ref="A2:H2"/>
    <mergeCell ref="A4:H4"/>
    <mergeCell ref="A25:H25"/>
    <mergeCell ref="B26:E26"/>
    <mergeCell ref="F26:G26"/>
    <mergeCell ref="B27:D27"/>
    <mergeCell ref="E27:F27"/>
    <mergeCell ref="B28:D28"/>
    <mergeCell ref="E28:F28"/>
    <mergeCell ref="B29:D29"/>
    <mergeCell ref="E29:F29"/>
    <mergeCell ref="B30:D30"/>
    <mergeCell ref="E30:F30"/>
    <mergeCell ref="B31:D31"/>
    <mergeCell ref="E31:F31"/>
    <mergeCell ref="B32:D32"/>
    <mergeCell ref="E32:F32"/>
    <mergeCell ref="B33:D33"/>
    <mergeCell ref="E33:F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T593"/>
  <sheetViews>
    <sheetView showFormulas="false" showGridLines="true" showRowColHeaders="true" showZeros="true" rightToLeft="false" tabSelected="true" showOutlineSymbols="true" defaultGridColor="true" view="normal" topLeftCell="A248" colorId="64" zoomScale="89" zoomScaleNormal="89" zoomScalePageLayoutView="100" workbookViewId="0">
      <selection pane="topLeft" activeCell="C370" activeCellId="0" sqref="C370"/>
    </sheetView>
  </sheetViews>
  <sheetFormatPr defaultColWidth="10.66015625" defaultRowHeight="12.75" zeroHeight="false" outlineLevelRow="0" outlineLevelCol="0"/>
  <cols>
    <col collapsed="false" customWidth="true" hidden="false" outlineLevel="0" max="1" min="1" style="268" width="3.34"/>
    <col collapsed="false" customWidth="true" hidden="false" outlineLevel="0" max="2" min="2" style="269" width="16.22"/>
    <col collapsed="false" customWidth="true" hidden="false" outlineLevel="0" max="3" min="3" style="268" width="35.11"/>
    <col collapsed="false" customWidth="true" hidden="false" outlineLevel="0" max="4" min="4" style="268" width="34.78"/>
    <col collapsed="false" customWidth="true" hidden="false" outlineLevel="0" max="5" min="5" style="268" width="23.56"/>
    <col collapsed="false" customWidth="true" hidden="false" outlineLevel="0" max="7" min="6" style="268" width="24"/>
    <col collapsed="false" customWidth="true" hidden="false" outlineLevel="0" max="9" min="8" style="268" width="24.44"/>
    <col collapsed="false" customWidth="true" hidden="false" outlineLevel="0" max="10" min="10" style="268" width="16.77"/>
    <col collapsed="false" customWidth="true" hidden="false" outlineLevel="0" max="11" min="11" style="268" width="24.88"/>
    <col collapsed="false" customWidth="true" hidden="false" outlineLevel="0" max="12" min="12" style="268" width="15.56"/>
    <col collapsed="false" customWidth="true" hidden="false" outlineLevel="0" max="13" min="13" style="268" width="13.11"/>
    <col collapsed="false" customWidth="true" hidden="false" outlineLevel="0" max="17" min="14" style="268" width="16.77"/>
    <col collapsed="false" customWidth="true" hidden="false" outlineLevel="0" max="18" min="18" style="268" width="17.22"/>
    <col collapsed="false" customWidth="false" hidden="false" outlineLevel="0" max="16384" min="19" style="268" width="10.66"/>
  </cols>
  <sheetData>
    <row r="1" customFormat="false" ht="80.25" hidden="false" customHeight="true" outlineLevel="0" collapsed="false"/>
    <row r="2" customFormat="false" ht="21" hidden="false" customHeight="true" outlineLevel="0" collapsed="false">
      <c r="B2" s="270" t="s">
        <v>644</v>
      </c>
      <c r="C2" s="270"/>
      <c r="D2" s="270"/>
      <c r="E2" s="270"/>
      <c r="F2" s="270"/>
      <c r="G2" s="270"/>
      <c r="H2" s="270"/>
      <c r="I2" s="270"/>
      <c r="J2" s="270"/>
      <c r="K2" s="270"/>
      <c r="L2" s="270"/>
    </row>
    <row r="3" customFormat="false" ht="12.75" hidden="false" customHeight="true" outlineLevel="0" collapsed="false">
      <c r="E3" s="271"/>
      <c r="F3" s="272" t="s">
        <v>645</v>
      </c>
      <c r="G3" s="272"/>
    </row>
    <row r="4" customFormat="false" ht="17.25" hidden="false" customHeight="true" outlineLevel="0" collapsed="false">
      <c r="C4" s="273" t="s">
        <v>646</v>
      </c>
      <c r="G4" s="274"/>
    </row>
    <row r="5" customFormat="false" ht="36.75" hidden="false" customHeight="true" outlineLevel="0" collapsed="false">
      <c r="C5" s="275" t="s">
        <v>647</v>
      </c>
      <c r="D5" s="275"/>
      <c r="E5" s="275"/>
      <c r="F5" s="275"/>
      <c r="G5" s="275"/>
      <c r="H5" s="275"/>
      <c r="I5" s="275"/>
      <c r="J5" s="275"/>
      <c r="K5" s="275"/>
      <c r="L5" s="275"/>
    </row>
    <row r="6" customFormat="false" ht="13.5" hidden="false" customHeight="true" outlineLevel="0" collapsed="false">
      <c r="C6" s="271"/>
      <c r="D6" s="276"/>
      <c r="E6" s="276"/>
      <c r="F6" s="276"/>
      <c r="G6" s="276"/>
      <c r="H6" s="276"/>
      <c r="I6" s="276"/>
      <c r="J6" s="276"/>
      <c r="K6" s="276"/>
      <c r="L6" s="276"/>
    </row>
    <row r="7" customFormat="false" ht="13.5" hidden="false" customHeight="true" outlineLevel="0" collapsed="false">
      <c r="C7" s="277" t="s">
        <v>36</v>
      </c>
      <c r="D7" s="278" t="s">
        <v>648</v>
      </c>
      <c r="E7" s="276"/>
      <c r="F7" s="276"/>
      <c r="G7" s="279"/>
      <c r="H7" s="276"/>
      <c r="I7" s="276"/>
      <c r="J7" s="276"/>
      <c r="K7" s="276"/>
    </row>
    <row r="8" customFormat="false" ht="15" hidden="false" customHeight="true" outlineLevel="0" collapsed="false">
      <c r="C8" s="280" t="s">
        <v>649</v>
      </c>
      <c r="D8" s="281" t="n">
        <v>28</v>
      </c>
      <c r="E8" s="271"/>
      <c r="F8" s="271"/>
      <c r="O8" s="282"/>
    </row>
    <row r="9" customFormat="false" ht="15.75" hidden="false" customHeight="true" outlineLevel="0" collapsed="false">
      <c r="C9" s="283" t="s">
        <v>650</v>
      </c>
      <c r="D9" s="284" t="n">
        <v>265</v>
      </c>
      <c r="N9" s="285"/>
      <c r="O9" s="285"/>
    </row>
    <row r="10" customFormat="false" ht="40.5" hidden="false" customHeight="true" outlineLevel="0" collapsed="false">
      <c r="C10" s="286" t="s">
        <v>651</v>
      </c>
      <c r="D10" s="286"/>
      <c r="E10" s="286"/>
      <c r="F10" s="286"/>
      <c r="G10" s="286"/>
      <c r="N10" s="285"/>
      <c r="O10" s="285"/>
    </row>
    <row r="11" customFormat="false" ht="12.75" hidden="false" customHeight="true" outlineLevel="0" collapsed="false">
      <c r="O11" s="285"/>
      <c r="P11" s="285"/>
    </row>
    <row r="12" s="287" customFormat="true" ht="15" hidden="false" customHeight="true" outlineLevel="0" collapsed="false">
      <c r="B12" s="288" t="s">
        <v>652</v>
      </c>
      <c r="C12" s="289" t="s">
        <v>653</v>
      </c>
      <c r="D12" s="290"/>
      <c r="E12" s="290"/>
      <c r="F12" s="291"/>
      <c r="G12" s="291"/>
      <c r="H12" s="291"/>
      <c r="I12" s="291"/>
      <c r="J12" s="291"/>
      <c r="K12" s="291"/>
      <c r="L12" s="292"/>
      <c r="O12" s="293"/>
      <c r="P12" s="293"/>
    </row>
    <row r="13" customFormat="false" ht="13.5" hidden="false" customHeight="true" outlineLevel="0" collapsed="false">
      <c r="N13" s="294"/>
      <c r="O13" s="294"/>
      <c r="P13" s="294"/>
      <c r="Q13" s="294"/>
      <c r="R13" s="294"/>
      <c r="S13" s="294"/>
    </row>
    <row r="14" s="268" customFormat="true" ht="15" hidden="false" customHeight="true" outlineLevel="0" collapsed="false">
      <c r="C14" s="295" t="s">
        <v>63</v>
      </c>
      <c r="D14" s="296" t="s">
        <v>654</v>
      </c>
      <c r="E14" s="296" t="s">
        <v>655</v>
      </c>
      <c r="F14" s="296" t="s">
        <v>656</v>
      </c>
      <c r="G14" s="296" t="s">
        <v>657</v>
      </c>
      <c r="H14" s="296" t="s">
        <v>655</v>
      </c>
      <c r="I14" s="296" t="s">
        <v>656</v>
      </c>
      <c r="J14" s="297" t="s">
        <v>657</v>
      </c>
      <c r="K14" s="271"/>
      <c r="N14" s="294"/>
      <c r="O14" s="294"/>
      <c r="P14" s="294"/>
      <c r="Q14" s="294"/>
      <c r="R14" s="294"/>
      <c r="S14" s="294"/>
    </row>
    <row r="15" s="298" customFormat="true" ht="13.5" hidden="false" customHeight="true" outlineLevel="0" collapsed="false">
      <c r="C15" s="299"/>
      <c r="D15" s="300" t="s">
        <v>658</v>
      </c>
      <c r="E15" s="300" t="s">
        <v>659</v>
      </c>
      <c r="F15" s="300" t="s">
        <v>660</v>
      </c>
      <c r="G15" s="300" t="s">
        <v>661</v>
      </c>
      <c r="H15" s="300" t="s">
        <v>662</v>
      </c>
      <c r="I15" s="300" t="s">
        <v>663</v>
      </c>
      <c r="J15" s="301" t="s">
        <v>664</v>
      </c>
      <c r="K15" s="302"/>
      <c r="N15" s="294"/>
      <c r="O15" s="294"/>
      <c r="P15" s="294"/>
      <c r="Q15" s="294"/>
      <c r="R15" s="294"/>
      <c r="S15" s="294"/>
    </row>
    <row r="16" customFormat="false" ht="12.75" hidden="false" customHeight="true" outlineLevel="0" collapsed="false">
      <c r="C16" s="303" t="s">
        <v>665</v>
      </c>
      <c r="D16" s="304"/>
      <c r="E16" s="304"/>
      <c r="F16" s="304"/>
      <c r="G16" s="304"/>
      <c r="H16" s="304"/>
      <c r="I16" s="304"/>
      <c r="J16" s="305"/>
      <c r="N16" s="294"/>
      <c r="O16" s="294"/>
      <c r="P16" s="294"/>
      <c r="Q16" s="294"/>
      <c r="R16" s="294"/>
      <c r="S16" s="294"/>
    </row>
    <row r="17" customFormat="false" ht="12.75" hidden="false" customHeight="true" outlineLevel="0" collapsed="false">
      <c r="B17" s="285"/>
      <c r="C17" s="306" t="s">
        <v>666</v>
      </c>
      <c r="D17" s="307" t="n">
        <v>25.09</v>
      </c>
      <c r="E17" s="307" t="n">
        <v>103.69</v>
      </c>
      <c r="F17" s="308" t="n">
        <v>11</v>
      </c>
      <c r="G17" s="309" t="n">
        <v>1.6</v>
      </c>
      <c r="H17" s="308" t="n">
        <v>2602</v>
      </c>
      <c r="I17" s="308" t="n">
        <v>276</v>
      </c>
      <c r="J17" s="310" t="n">
        <v>40</v>
      </c>
      <c r="K17" s="311"/>
      <c r="M17" s="312"/>
      <c r="N17" s="312"/>
      <c r="O17" s="312"/>
      <c r="P17" s="312"/>
      <c r="Q17" s="312"/>
      <c r="R17" s="312"/>
      <c r="S17" s="312"/>
    </row>
    <row r="18" customFormat="false" ht="12.75" hidden="false" customHeight="true" outlineLevel="0" collapsed="false">
      <c r="B18" s="285"/>
      <c r="C18" s="306" t="s">
        <v>667</v>
      </c>
      <c r="D18" s="307" t="n">
        <v>24.93</v>
      </c>
      <c r="E18" s="307" t="n">
        <v>93.28</v>
      </c>
      <c r="F18" s="308" t="n">
        <v>11</v>
      </c>
      <c r="G18" s="309" t="n">
        <v>1.6</v>
      </c>
      <c r="H18" s="308" t="n">
        <v>2325</v>
      </c>
      <c r="I18" s="308" t="n">
        <v>274</v>
      </c>
      <c r="J18" s="310" t="n">
        <v>40</v>
      </c>
      <c r="K18" s="311"/>
      <c r="M18" s="312"/>
      <c r="N18" s="312"/>
      <c r="O18" s="312"/>
      <c r="P18" s="312"/>
      <c r="Q18" s="312"/>
      <c r="R18" s="312"/>
      <c r="S18" s="312"/>
    </row>
    <row r="19" customFormat="false" ht="12.75" hidden="false" customHeight="true" outlineLevel="0" collapsed="false">
      <c r="B19" s="285"/>
      <c r="C19" s="306" t="s">
        <v>668</v>
      </c>
      <c r="D19" s="307" t="n">
        <v>17.25</v>
      </c>
      <c r="E19" s="307" t="n">
        <v>97.17</v>
      </c>
      <c r="F19" s="308" t="n">
        <v>11</v>
      </c>
      <c r="G19" s="309" t="n">
        <v>1.6</v>
      </c>
      <c r="H19" s="308" t="n">
        <v>1676</v>
      </c>
      <c r="I19" s="308" t="n">
        <v>190</v>
      </c>
      <c r="J19" s="310" t="n">
        <v>28</v>
      </c>
      <c r="K19" s="311"/>
      <c r="M19" s="312"/>
      <c r="N19" s="312"/>
      <c r="O19" s="312"/>
      <c r="P19" s="312"/>
      <c r="Q19" s="312"/>
      <c r="R19" s="312"/>
      <c r="S19" s="312"/>
    </row>
    <row r="20" customFormat="false" ht="12.75" hidden="false" customHeight="true" outlineLevel="0" collapsed="false">
      <c r="B20" s="285"/>
      <c r="C20" s="306" t="s">
        <v>669</v>
      </c>
      <c r="D20" s="307" t="n">
        <v>14.21</v>
      </c>
      <c r="E20" s="307" t="n">
        <v>97.72</v>
      </c>
      <c r="F20" s="308" t="n">
        <v>11</v>
      </c>
      <c r="G20" s="309" t="n">
        <v>1.6</v>
      </c>
      <c r="H20" s="308" t="n">
        <v>1389</v>
      </c>
      <c r="I20" s="308" t="n">
        <v>156</v>
      </c>
      <c r="J20" s="310" t="n">
        <v>23</v>
      </c>
      <c r="K20" s="311"/>
      <c r="M20" s="312"/>
      <c r="N20" s="312"/>
      <c r="O20" s="312"/>
      <c r="P20" s="312"/>
      <c r="Q20" s="312"/>
      <c r="R20" s="312"/>
      <c r="S20" s="312"/>
    </row>
    <row r="21" customFormat="false" ht="12.75" hidden="false" customHeight="true" outlineLevel="0" collapsed="false">
      <c r="B21" s="285"/>
      <c r="C21" s="306" t="s">
        <v>670</v>
      </c>
      <c r="D21" s="307" t="n">
        <v>21.39</v>
      </c>
      <c r="E21" s="307" t="n">
        <v>94.27</v>
      </c>
      <c r="F21" s="308" t="n">
        <v>11</v>
      </c>
      <c r="G21" s="309" t="n">
        <v>1.6</v>
      </c>
      <c r="H21" s="308" t="n">
        <v>2016</v>
      </c>
      <c r="I21" s="308" t="n">
        <v>235</v>
      </c>
      <c r="J21" s="310" t="n">
        <v>34</v>
      </c>
      <c r="K21" s="313"/>
      <c r="M21" s="312"/>
      <c r="N21" s="312"/>
      <c r="O21" s="312"/>
      <c r="P21" s="312"/>
      <c r="Q21" s="312"/>
      <c r="R21" s="312"/>
      <c r="S21" s="312"/>
    </row>
    <row r="22" customFormat="false" ht="12.75" hidden="false" customHeight="true" outlineLevel="0" collapsed="false">
      <c r="B22" s="285"/>
      <c r="C22" s="306" t="s">
        <v>671</v>
      </c>
      <c r="D22" s="307" t="n">
        <v>19.73</v>
      </c>
      <c r="E22" s="307" t="n">
        <v>95.52</v>
      </c>
      <c r="F22" s="308" t="n">
        <v>11</v>
      </c>
      <c r="G22" s="309" t="n">
        <v>1.6</v>
      </c>
      <c r="H22" s="308" t="n">
        <v>1885</v>
      </c>
      <c r="I22" s="308" t="n">
        <v>217</v>
      </c>
      <c r="J22" s="310" t="n">
        <v>32</v>
      </c>
      <c r="K22" s="312"/>
      <c r="M22" s="312"/>
      <c r="N22" s="312"/>
      <c r="O22" s="312"/>
      <c r="P22" s="312"/>
      <c r="Q22" s="312"/>
      <c r="R22" s="312"/>
      <c r="S22" s="312"/>
    </row>
    <row r="23" customFormat="false" ht="12.75" hidden="false" customHeight="true" outlineLevel="0" collapsed="false">
      <c r="B23" s="285"/>
      <c r="C23" s="306" t="s">
        <v>672</v>
      </c>
      <c r="D23" s="307" t="n">
        <v>26.28</v>
      </c>
      <c r="E23" s="307" t="n">
        <v>93.9</v>
      </c>
      <c r="F23" s="308" t="n">
        <v>11</v>
      </c>
      <c r="G23" s="309" t="n">
        <v>1.6</v>
      </c>
      <c r="H23" s="308" t="n">
        <v>2468</v>
      </c>
      <c r="I23" s="308" t="n">
        <v>289</v>
      </c>
      <c r="J23" s="310" t="n">
        <v>42</v>
      </c>
      <c r="K23" s="312"/>
      <c r="M23" s="312"/>
      <c r="N23" s="312"/>
      <c r="O23" s="312"/>
      <c r="P23" s="312"/>
      <c r="Q23" s="312"/>
      <c r="R23" s="312"/>
      <c r="S23" s="312"/>
    </row>
    <row r="24" customFormat="false" ht="12.75" hidden="false" customHeight="true" outlineLevel="0" collapsed="false">
      <c r="B24" s="285"/>
      <c r="C24" s="306" t="s">
        <v>673</v>
      </c>
      <c r="D24" s="307" t="n">
        <v>22.35</v>
      </c>
      <c r="E24" s="307" t="n">
        <v>94.67</v>
      </c>
      <c r="F24" s="308" t="n">
        <v>11</v>
      </c>
      <c r="G24" s="309" t="n">
        <v>1.6</v>
      </c>
      <c r="H24" s="308" t="n">
        <v>2116</v>
      </c>
      <c r="I24" s="308" t="n">
        <v>246</v>
      </c>
      <c r="J24" s="310" t="n">
        <v>36</v>
      </c>
      <c r="K24" s="312"/>
      <c r="M24" s="312"/>
      <c r="N24" s="312"/>
      <c r="O24" s="312"/>
      <c r="P24" s="312"/>
      <c r="Q24" s="312"/>
      <c r="R24" s="312"/>
      <c r="S24" s="312"/>
    </row>
    <row r="25" customFormat="false" ht="12.75" hidden="false" customHeight="true" outlineLevel="0" collapsed="false">
      <c r="B25" s="285"/>
      <c r="C25" s="306" t="s">
        <v>674</v>
      </c>
      <c r="D25" s="307" t="n">
        <v>24.8</v>
      </c>
      <c r="E25" s="307" t="n">
        <v>113.67</v>
      </c>
      <c r="F25" s="308" t="n">
        <v>11</v>
      </c>
      <c r="G25" s="309" t="n">
        <v>1.6</v>
      </c>
      <c r="H25" s="308" t="n">
        <v>2819</v>
      </c>
      <c r="I25" s="308" t="n">
        <v>273</v>
      </c>
      <c r="J25" s="310" t="n">
        <v>40</v>
      </c>
      <c r="K25" s="312"/>
      <c r="M25" s="312"/>
      <c r="N25" s="312"/>
      <c r="O25" s="312"/>
      <c r="P25" s="312"/>
      <c r="Q25" s="312"/>
      <c r="R25" s="312"/>
      <c r="S25" s="312"/>
    </row>
    <row r="26" customFormat="false" ht="12.75" hidden="false" customHeight="true" outlineLevel="0" collapsed="false">
      <c r="C26" s="314" t="s">
        <v>675</v>
      </c>
      <c r="D26" s="315"/>
      <c r="E26" s="315"/>
      <c r="F26" s="316"/>
      <c r="G26" s="317"/>
      <c r="H26" s="316"/>
      <c r="I26" s="316"/>
      <c r="J26" s="318"/>
      <c r="K26" s="312"/>
      <c r="M26" s="312"/>
      <c r="N26" s="312"/>
      <c r="O26" s="312"/>
      <c r="P26" s="312"/>
      <c r="Q26" s="312"/>
      <c r="R26" s="312"/>
      <c r="S26" s="312"/>
    </row>
    <row r="27" customFormat="false" ht="12.75" hidden="false" customHeight="true" outlineLevel="0" collapsed="false">
      <c r="B27" s="285"/>
      <c r="C27" s="306" t="s">
        <v>83</v>
      </c>
      <c r="D27" s="307" t="n">
        <v>9.95</v>
      </c>
      <c r="E27" s="307" t="n">
        <v>90.7</v>
      </c>
      <c r="F27" s="308" t="n">
        <v>32</v>
      </c>
      <c r="G27" s="309" t="n">
        <v>4.2</v>
      </c>
      <c r="H27" s="308" t="n">
        <v>902</v>
      </c>
      <c r="I27" s="308" t="n">
        <v>318</v>
      </c>
      <c r="J27" s="310" t="n">
        <v>42</v>
      </c>
      <c r="K27" s="312"/>
      <c r="M27" s="312"/>
      <c r="N27" s="312"/>
      <c r="O27" s="312"/>
      <c r="P27" s="312"/>
      <c r="Q27" s="312"/>
      <c r="R27" s="312"/>
      <c r="S27" s="312"/>
    </row>
    <row r="28" customFormat="false" ht="12.75" hidden="false" customHeight="true" outlineLevel="0" collapsed="false">
      <c r="B28" s="285"/>
      <c r="C28" s="306" t="s">
        <v>676</v>
      </c>
      <c r="D28" s="307" t="n">
        <v>30</v>
      </c>
      <c r="E28" s="307" t="n">
        <v>102.41</v>
      </c>
      <c r="F28" s="308" t="n">
        <v>32</v>
      </c>
      <c r="G28" s="309" t="n">
        <v>4.2</v>
      </c>
      <c r="H28" s="308" t="n">
        <v>3072</v>
      </c>
      <c r="I28" s="308" t="n">
        <v>960</v>
      </c>
      <c r="J28" s="310" t="n">
        <v>126</v>
      </c>
      <c r="K28" s="271"/>
      <c r="M28" s="312"/>
      <c r="N28" s="312"/>
      <c r="O28" s="312"/>
      <c r="P28" s="312"/>
      <c r="Q28" s="312"/>
      <c r="R28" s="312"/>
      <c r="S28" s="312"/>
    </row>
    <row r="29" customFormat="false" ht="12.75" hidden="false" customHeight="true" outlineLevel="0" collapsed="false">
      <c r="B29" s="285"/>
      <c r="C29" s="306" t="s">
        <v>677</v>
      </c>
      <c r="D29" s="307" t="n">
        <v>38</v>
      </c>
      <c r="E29" s="307" t="n">
        <v>75</v>
      </c>
      <c r="F29" s="308" t="n">
        <v>32</v>
      </c>
      <c r="G29" s="309" t="n">
        <v>4.2</v>
      </c>
      <c r="H29" s="308" t="n">
        <v>2850</v>
      </c>
      <c r="I29" s="308" t="n">
        <v>1216</v>
      </c>
      <c r="J29" s="310" t="n">
        <v>160</v>
      </c>
      <c r="M29" s="312"/>
      <c r="N29" s="312"/>
      <c r="O29" s="312"/>
      <c r="P29" s="312"/>
      <c r="Q29" s="312"/>
      <c r="R29" s="312"/>
      <c r="S29" s="312"/>
    </row>
    <row r="30" customFormat="false" ht="12.75" hidden="false" customHeight="true" outlineLevel="0" collapsed="false">
      <c r="B30" s="285"/>
      <c r="C30" s="306" t="s">
        <v>678</v>
      </c>
      <c r="D30" s="307" t="n">
        <v>28</v>
      </c>
      <c r="E30" s="307" t="n">
        <v>85.97</v>
      </c>
      <c r="F30" s="308" t="n">
        <v>32</v>
      </c>
      <c r="G30" s="309" t="n">
        <v>4.2</v>
      </c>
      <c r="H30" s="308" t="n">
        <v>2407</v>
      </c>
      <c r="I30" s="308" t="n">
        <v>896</v>
      </c>
      <c r="J30" s="310" t="n">
        <v>118</v>
      </c>
      <c r="M30" s="312"/>
      <c r="N30" s="312"/>
      <c r="O30" s="312"/>
      <c r="P30" s="312"/>
      <c r="Q30" s="312"/>
      <c r="R30" s="312"/>
      <c r="S30" s="312"/>
    </row>
    <row r="31" customFormat="false" ht="12.75" hidden="false" customHeight="true" outlineLevel="0" collapsed="false">
      <c r="C31" s="314" t="s">
        <v>679</v>
      </c>
      <c r="D31" s="315"/>
      <c r="E31" s="315"/>
      <c r="F31" s="316"/>
      <c r="G31" s="317"/>
      <c r="H31" s="316"/>
      <c r="I31" s="316"/>
      <c r="J31" s="318"/>
      <c r="M31" s="312"/>
      <c r="N31" s="312"/>
      <c r="O31" s="312"/>
      <c r="P31" s="312"/>
      <c r="Q31" s="312"/>
      <c r="R31" s="312"/>
      <c r="S31" s="312"/>
    </row>
    <row r="32" customFormat="false" ht="12.75" hidden="false" customHeight="true" outlineLevel="0" collapsed="false">
      <c r="B32" s="285"/>
      <c r="C32" s="306" t="s">
        <v>680</v>
      </c>
      <c r="D32" s="307" t="n">
        <v>8.25</v>
      </c>
      <c r="E32" s="307" t="n">
        <v>118.17</v>
      </c>
      <c r="F32" s="308" t="n">
        <v>32</v>
      </c>
      <c r="G32" s="309" t="n">
        <v>4.2</v>
      </c>
      <c r="H32" s="308" t="n">
        <v>975</v>
      </c>
      <c r="I32" s="308" t="n">
        <v>264</v>
      </c>
      <c r="J32" s="310" t="n">
        <v>35</v>
      </c>
      <c r="M32" s="312"/>
      <c r="N32" s="312"/>
      <c r="O32" s="312"/>
      <c r="P32" s="312"/>
      <c r="Q32" s="312"/>
      <c r="R32" s="312"/>
      <c r="S32" s="312"/>
    </row>
    <row r="33" customFormat="false" ht="12.75" hidden="false" customHeight="true" outlineLevel="0" collapsed="false">
      <c r="B33" s="285"/>
      <c r="C33" s="306" t="s">
        <v>681</v>
      </c>
      <c r="D33" s="307" t="n">
        <v>8</v>
      </c>
      <c r="E33" s="307" t="n">
        <v>111.84</v>
      </c>
      <c r="F33" s="308" t="n">
        <v>32</v>
      </c>
      <c r="G33" s="309" t="n">
        <v>4.2</v>
      </c>
      <c r="H33" s="308" t="n">
        <v>895</v>
      </c>
      <c r="I33" s="308" t="n">
        <v>256</v>
      </c>
      <c r="J33" s="310" t="n">
        <v>34</v>
      </c>
      <c r="M33" s="312"/>
      <c r="N33" s="312"/>
      <c r="O33" s="312"/>
      <c r="P33" s="312"/>
      <c r="Q33" s="312"/>
      <c r="R33" s="312"/>
      <c r="S33" s="312"/>
    </row>
    <row r="34" customFormat="false" ht="12.75" hidden="false" customHeight="true" outlineLevel="0" collapsed="false">
      <c r="B34" s="285"/>
      <c r="C34" s="306" t="s">
        <v>682</v>
      </c>
      <c r="D34" s="307" t="n">
        <v>10.39</v>
      </c>
      <c r="E34" s="307" t="n">
        <v>105.51</v>
      </c>
      <c r="F34" s="308" t="n">
        <v>32</v>
      </c>
      <c r="G34" s="309" t="n">
        <v>4.2</v>
      </c>
      <c r="H34" s="308" t="n">
        <v>1096</v>
      </c>
      <c r="I34" s="308" t="n">
        <v>332</v>
      </c>
      <c r="J34" s="310" t="n">
        <v>44</v>
      </c>
      <c r="M34" s="312"/>
      <c r="N34" s="312"/>
      <c r="O34" s="312"/>
      <c r="P34" s="312"/>
      <c r="Q34" s="312"/>
      <c r="R34" s="312"/>
      <c r="S34" s="312"/>
    </row>
    <row r="35" customFormat="false" ht="12.75" hidden="false" customHeight="true" outlineLevel="0" collapsed="false">
      <c r="B35" s="285"/>
      <c r="C35" s="306" t="s">
        <v>683</v>
      </c>
      <c r="D35" s="307" t="n">
        <v>17.48</v>
      </c>
      <c r="E35" s="307" t="n">
        <v>93.8</v>
      </c>
      <c r="F35" s="309" t="n">
        <v>7.2</v>
      </c>
      <c r="G35" s="309" t="n">
        <v>3.6</v>
      </c>
      <c r="H35" s="308" t="n">
        <v>1640</v>
      </c>
      <c r="I35" s="308" t="n">
        <v>126</v>
      </c>
      <c r="J35" s="310" t="n">
        <v>63</v>
      </c>
      <c r="M35" s="312"/>
      <c r="N35" s="312"/>
      <c r="O35" s="312"/>
      <c r="P35" s="312"/>
      <c r="Q35" s="312"/>
      <c r="R35" s="312"/>
      <c r="S35" s="312"/>
    </row>
    <row r="36" s="298" customFormat="true" ht="12.75" hidden="false" customHeight="true" outlineLevel="0" collapsed="false">
      <c r="C36" s="299"/>
      <c r="D36" s="319" t="s">
        <v>684</v>
      </c>
      <c r="E36" s="319" t="s">
        <v>659</v>
      </c>
      <c r="F36" s="319" t="s">
        <v>660</v>
      </c>
      <c r="G36" s="319" t="s">
        <v>661</v>
      </c>
      <c r="H36" s="319" t="s">
        <v>685</v>
      </c>
      <c r="I36" s="319" t="s">
        <v>686</v>
      </c>
      <c r="J36" s="320" t="s">
        <v>687</v>
      </c>
      <c r="K36" s="268"/>
      <c r="L36" s="268"/>
      <c r="M36" s="312"/>
      <c r="N36" s="312"/>
      <c r="O36" s="312"/>
      <c r="P36" s="312"/>
      <c r="Q36" s="312"/>
      <c r="R36" s="312"/>
      <c r="S36" s="312"/>
      <c r="T36" s="268"/>
    </row>
    <row r="37" customFormat="false" ht="12.75" hidden="false" customHeight="true" outlineLevel="0" collapsed="false">
      <c r="C37" s="321" t="s">
        <v>68</v>
      </c>
      <c r="D37" s="322"/>
      <c r="E37" s="322"/>
      <c r="F37" s="323"/>
      <c r="G37" s="323"/>
      <c r="J37" s="324"/>
      <c r="M37" s="312"/>
      <c r="N37" s="312"/>
      <c r="O37" s="312"/>
      <c r="P37" s="312"/>
      <c r="Q37" s="312"/>
      <c r="R37" s="312"/>
      <c r="S37" s="312"/>
    </row>
    <row r="38" customFormat="false" ht="12.75" hidden="false" customHeight="true" outlineLevel="0" collapsed="false">
      <c r="B38" s="325"/>
      <c r="C38" s="306" t="s">
        <v>68</v>
      </c>
      <c r="D38" s="326" t="n">
        <v>0.001026</v>
      </c>
      <c r="E38" s="307" t="n">
        <v>53.06</v>
      </c>
      <c r="F38" s="309" t="n">
        <v>1</v>
      </c>
      <c r="G38" s="307" t="n">
        <v>0.1</v>
      </c>
      <c r="H38" s="327" t="n">
        <v>0.05444</v>
      </c>
      <c r="I38" s="327" t="n">
        <v>0.00103</v>
      </c>
      <c r="J38" s="328" t="n">
        <v>0.0001</v>
      </c>
      <c r="K38" s="329"/>
      <c r="M38" s="312"/>
      <c r="N38" s="312"/>
      <c r="O38" s="312"/>
      <c r="P38" s="312"/>
      <c r="Q38" s="312"/>
      <c r="R38" s="312"/>
      <c r="S38" s="312"/>
    </row>
    <row r="39" customFormat="false" ht="12.75" hidden="false" customHeight="true" outlineLevel="0" collapsed="false">
      <c r="C39" s="330" t="s">
        <v>688</v>
      </c>
      <c r="D39" s="331"/>
      <c r="E39" s="331"/>
      <c r="F39" s="331"/>
      <c r="G39" s="331"/>
      <c r="H39" s="332"/>
      <c r="I39" s="333"/>
      <c r="J39" s="334"/>
      <c r="M39" s="312"/>
      <c r="N39" s="312"/>
      <c r="O39" s="312"/>
      <c r="P39" s="312"/>
      <c r="Q39" s="312"/>
      <c r="R39" s="312"/>
      <c r="S39" s="312"/>
    </row>
    <row r="40" customFormat="false" ht="12.75" hidden="false" customHeight="true" outlineLevel="0" collapsed="false">
      <c r="B40" s="285"/>
      <c r="C40" s="306" t="s">
        <v>689</v>
      </c>
      <c r="D40" s="326" t="n">
        <v>9.2E-005</v>
      </c>
      <c r="E40" s="307" t="n">
        <v>274.32</v>
      </c>
      <c r="F40" s="335" t="n">
        <v>0.022</v>
      </c>
      <c r="G40" s="307" t="n">
        <v>0.1</v>
      </c>
      <c r="H40" s="327" t="n">
        <v>0.02524</v>
      </c>
      <c r="I40" s="326" t="n">
        <v>2E-006</v>
      </c>
      <c r="J40" s="336" t="n">
        <v>9E-006</v>
      </c>
      <c r="M40" s="312"/>
      <c r="N40" s="312"/>
      <c r="O40" s="312"/>
      <c r="P40" s="312"/>
      <c r="Q40" s="312"/>
      <c r="R40" s="312"/>
      <c r="S40" s="312"/>
    </row>
    <row r="41" customFormat="false" ht="12.75" hidden="false" customHeight="true" outlineLevel="0" collapsed="false">
      <c r="B41" s="285"/>
      <c r="C41" s="306" t="s">
        <v>690</v>
      </c>
      <c r="D41" s="326" t="n">
        <v>0.000599</v>
      </c>
      <c r="E41" s="307" t="n">
        <v>46.85</v>
      </c>
      <c r="F41" s="307" t="n">
        <v>0.48</v>
      </c>
      <c r="G41" s="307" t="n">
        <v>0.1</v>
      </c>
      <c r="H41" s="327" t="n">
        <v>0.02806</v>
      </c>
      <c r="I41" s="326" t="n">
        <v>0.000288</v>
      </c>
      <c r="J41" s="336" t="n">
        <v>6E-005</v>
      </c>
      <c r="K41" s="329"/>
      <c r="M41" s="312"/>
      <c r="N41" s="312"/>
      <c r="O41" s="312"/>
      <c r="P41" s="312"/>
      <c r="Q41" s="312"/>
      <c r="R41" s="312"/>
      <c r="S41" s="312"/>
    </row>
    <row r="42" customFormat="false" ht="12.75" hidden="false" customHeight="true" outlineLevel="0" collapsed="false">
      <c r="B42" s="285"/>
      <c r="C42" s="306" t="s">
        <v>691</v>
      </c>
      <c r="D42" s="326" t="n">
        <v>0.001388</v>
      </c>
      <c r="E42" s="337" t="n">
        <v>59</v>
      </c>
      <c r="F42" s="309" t="n">
        <v>3</v>
      </c>
      <c r="G42" s="307" t="n">
        <v>0.6</v>
      </c>
      <c r="H42" s="327" t="n">
        <v>0.08189</v>
      </c>
      <c r="I42" s="326" t="n">
        <v>0.004164</v>
      </c>
      <c r="J42" s="336" t="n">
        <v>0.000833</v>
      </c>
      <c r="M42" s="312"/>
      <c r="N42" s="312"/>
      <c r="O42" s="312"/>
      <c r="P42" s="312"/>
      <c r="Q42" s="312"/>
      <c r="R42" s="312"/>
      <c r="S42" s="312"/>
    </row>
    <row r="43" customFormat="false" ht="12.75" hidden="false" customHeight="true" outlineLevel="0" collapsed="false">
      <c r="B43" s="285"/>
      <c r="C43" s="306" t="s">
        <v>692</v>
      </c>
      <c r="D43" s="326" t="n">
        <v>0.002516</v>
      </c>
      <c r="E43" s="337" t="n">
        <v>61.46</v>
      </c>
      <c r="F43" s="309" t="n">
        <v>3</v>
      </c>
      <c r="G43" s="307" t="n">
        <v>0.6</v>
      </c>
      <c r="H43" s="327" t="n">
        <v>0.15463</v>
      </c>
      <c r="I43" s="326" t="n">
        <v>0.007548</v>
      </c>
      <c r="J43" s="336" t="n">
        <v>0.00151</v>
      </c>
      <c r="K43" s="271"/>
      <c r="M43" s="312"/>
      <c r="N43" s="312"/>
      <c r="O43" s="312"/>
      <c r="P43" s="312"/>
      <c r="Q43" s="312"/>
      <c r="R43" s="312"/>
      <c r="S43" s="312"/>
    </row>
    <row r="44" customFormat="false" ht="12.75" hidden="false" customHeight="true" outlineLevel="0" collapsed="false">
      <c r="C44" s="314" t="s">
        <v>693</v>
      </c>
      <c r="D44" s="331"/>
      <c r="E44" s="331"/>
      <c r="F44" s="312"/>
      <c r="G44" s="312"/>
      <c r="H44" s="333"/>
      <c r="I44" s="333"/>
      <c r="J44" s="334"/>
      <c r="M44" s="312"/>
      <c r="N44" s="312"/>
      <c r="O44" s="312"/>
      <c r="P44" s="312"/>
      <c r="Q44" s="312"/>
      <c r="R44" s="312"/>
      <c r="S44" s="312"/>
    </row>
    <row r="45" s="287" customFormat="true" ht="12.75" hidden="false" customHeight="true" outlineLevel="0" collapsed="false">
      <c r="B45" s="338"/>
      <c r="C45" s="339" t="s">
        <v>694</v>
      </c>
      <c r="D45" s="340" t="n">
        <v>0.000485</v>
      </c>
      <c r="E45" s="341" t="n">
        <v>52.07</v>
      </c>
      <c r="F45" s="342" t="n">
        <v>3.2</v>
      </c>
      <c r="G45" s="341" t="n">
        <v>0.63</v>
      </c>
      <c r="H45" s="326" t="n">
        <v>0.025254</v>
      </c>
      <c r="I45" s="326" t="n">
        <v>0.001552</v>
      </c>
      <c r="J45" s="336" t="n">
        <v>0.000306</v>
      </c>
      <c r="K45" s="268"/>
      <c r="L45" s="268"/>
      <c r="M45" s="312"/>
      <c r="N45" s="312"/>
      <c r="O45" s="312"/>
      <c r="P45" s="312"/>
      <c r="Q45" s="312"/>
      <c r="R45" s="312"/>
      <c r="S45" s="312"/>
      <c r="T45" s="268"/>
    </row>
    <row r="46" s="287" customFormat="true" ht="12.75" hidden="false" customHeight="true" outlineLevel="0" collapsed="false">
      <c r="B46" s="338"/>
      <c r="C46" s="339" t="s">
        <v>695</v>
      </c>
      <c r="D46" s="340" t="n">
        <v>0.000655</v>
      </c>
      <c r="E46" s="341" t="n">
        <v>52.07</v>
      </c>
      <c r="F46" s="342" t="n">
        <v>3.2</v>
      </c>
      <c r="G46" s="341" t="n">
        <v>0.63</v>
      </c>
      <c r="H46" s="326" t="n">
        <v>0.034106</v>
      </c>
      <c r="I46" s="326" t="n">
        <v>0.002096</v>
      </c>
      <c r="J46" s="336" t="n">
        <v>0.000413</v>
      </c>
      <c r="K46" s="268"/>
      <c r="L46" s="268"/>
      <c r="M46" s="312"/>
      <c r="N46" s="312"/>
      <c r="O46" s="312"/>
      <c r="P46" s="312"/>
      <c r="Q46" s="312"/>
      <c r="R46" s="312"/>
      <c r="S46" s="312"/>
      <c r="T46" s="268"/>
    </row>
    <row r="47" s="298" customFormat="true" ht="12.75" hidden="false" customHeight="true" outlineLevel="0" collapsed="false">
      <c r="C47" s="299"/>
      <c r="D47" s="319" t="s">
        <v>696</v>
      </c>
      <c r="E47" s="319" t="s">
        <v>659</v>
      </c>
      <c r="F47" s="319" t="s">
        <v>660</v>
      </c>
      <c r="G47" s="319" t="s">
        <v>661</v>
      </c>
      <c r="H47" s="319" t="s">
        <v>697</v>
      </c>
      <c r="I47" s="319" t="s">
        <v>698</v>
      </c>
      <c r="J47" s="320" t="s">
        <v>699</v>
      </c>
      <c r="K47" s="268"/>
      <c r="L47" s="268"/>
      <c r="M47" s="312"/>
      <c r="N47" s="312"/>
      <c r="O47" s="312"/>
      <c r="P47" s="312"/>
      <c r="Q47" s="312"/>
      <c r="R47" s="312"/>
      <c r="S47" s="312"/>
      <c r="T47" s="268"/>
    </row>
    <row r="48" s="287" customFormat="true" ht="12.75" hidden="false" customHeight="true" outlineLevel="0" collapsed="false">
      <c r="B48" s="343"/>
      <c r="C48" s="344" t="s">
        <v>700</v>
      </c>
      <c r="J48" s="345"/>
      <c r="K48" s="268"/>
      <c r="L48" s="268"/>
      <c r="M48" s="312"/>
      <c r="N48" s="312"/>
      <c r="O48" s="312"/>
      <c r="P48" s="312"/>
      <c r="Q48" s="312"/>
      <c r="R48" s="312"/>
      <c r="S48" s="312"/>
      <c r="T48" s="268"/>
    </row>
    <row r="49" customFormat="false" ht="12.75" hidden="false" customHeight="true" outlineLevel="0" collapsed="false">
      <c r="B49" s="285"/>
      <c r="C49" s="306" t="s">
        <v>701</v>
      </c>
      <c r="D49" s="335" t="n">
        <v>0.158</v>
      </c>
      <c r="E49" s="307" t="n">
        <v>75.36</v>
      </c>
      <c r="F49" s="309" t="n">
        <v>3</v>
      </c>
      <c r="G49" s="307" t="n">
        <v>0.6</v>
      </c>
      <c r="H49" s="307" t="n">
        <v>11.91</v>
      </c>
      <c r="I49" s="307" t="n">
        <v>0.47</v>
      </c>
      <c r="J49" s="346" t="n">
        <v>0.09</v>
      </c>
      <c r="M49" s="312"/>
      <c r="N49" s="312"/>
      <c r="O49" s="312"/>
      <c r="P49" s="312"/>
      <c r="Q49" s="312"/>
      <c r="R49" s="312"/>
      <c r="S49" s="312"/>
    </row>
    <row r="50" customFormat="false" ht="12.75" hidden="false" customHeight="true" outlineLevel="0" collapsed="false">
      <c r="B50" s="285"/>
      <c r="C50" s="306" t="s">
        <v>702</v>
      </c>
      <c r="D50" s="335" t="n">
        <v>0.12</v>
      </c>
      <c r="E50" s="307" t="n">
        <v>69.25</v>
      </c>
      <c r="F50" s="309" t="n">
        <v>3</v>
      </c>
      <c r="G50" s="307" t="n">
        <v>0.6</v>
      </c>
      <c r="H50" s="307" t="n">
        <v>8.31</v>
      </c>
      <c r="I50" s="307" t="n">
        <v>0.36</v>
      </c>
      <c r="J50" s="346" t="n">
        <v>0.07</v>
      </c>
      <c r="M50" s="312"/>
      <c r="N50" s="312"/>
      <c r="O50" s="312"/>
      <c r="P50" s="312"/>
      <c r="Q50" s="312"/>
      <c r="R50" s="312"/>
      <c r="S50" s="312"/>
    </row>
    <row r="51" customFormat="false" ht="12.75" hidden="false" customHeight="true" outlineLevel="0" collapsed="false">
      <c r="B51" s="285"/>
      <c r="C51" s="306" t="s">
        <v>703</v>
      </c>
      <c r="D51" s="335" t="n">
        <v>0.103</v>
      </c>
      <c r="E51" s="307" t="n">
        <v>64.77</v>
      </c>
      <c r="F51" s="309" t="n">
        <v>3</v>
      </c>
      <c r="G51" s="307" t="n">
        <v>0.6</v>
      </c>
      <c r="H51" s="307" t="n">
        <v>6.67</v>
      </c>
      <c r="I51" s="307" t="n">
        <v>0.31</v>
      </c>
      <c r="J51" s="346" t="n">
        <v>0.06</v>
      </c>
      <c r="M51" s="312"/>
      <c r="N51" s="312"/>
      <c r="O51" s="312"/>
      <c r="P51" s="312"/>
      <c r="Q51" s="312"/>
      <c r="R51" s="312"/>
      <c r="S51" s="312"/>
    </row>
    <row r="52" customFormat="false" ht="12.75" hidden="false" customHeight="true" outlineLevel="0" collapsed="false">
      <c r="B52" s="285"/>
      <c r="C52" s="306" t="s">
        <v>704</v>
      </c>
      <c r="D52" s="335" t="n">
        <v>0.105</v>
      </c>
      <c r="E52" s="307" t="n">
        <v>68.72</v>
      </c>
      <c r="F52" s="309" t="n">
        <v>3</v>
      </c>
      <c r="G52" s="307" t="n">
        <v>0.6</v>
      </c>
      <c r="H52" s="307" t="n">
        <v>7.22</v>
      </c>
      <c r="I52" s="307" t="n">
        <v>0.32</v>
      </c>
      <c r="J52" s="346" t="n">
        <v>0.06</v>
      </c>
      <c r="M52" s="312"/>
      <c r="N52" s="312"/>
      <c r="O52" s="312"/>
      <c r="P52" s="312"/>
      <c r="Q52" s="312"/>
      <c r="R52" s="312"/>
      <c r="S52" s="312"/>
    </row>
    <row r="53" customFormat="false" ht="12.75" hidden="false" customHeight="true" outlineLevel="0" collapsed="false">
      <c r="B53" s="285"/>
      <c r="C53" s="306" t="s">
        <v>705</v>
      </c>
      <c r="D53" s="335" t="n">
        <v>0.138</v>
      </c>
      <c r="E53" s="307" t="n">
        <v>74.54</v>
      </c>
      <c r="F53" s="309" t="n">
        <v>3</v>
      </c>
      <c r="G53" s="307" t="n">
        <v>0.6</v>
      </c>
      <c r="H53" s="307" t="n">
        <v>10.29</v>
      </c>
      <c r="I53" s="307" t="n">
        <v>0.41</v>
      </c>
      <c r="J53" s="346" t="n">
        <v>0.08</v>
      </c>
      <c r="M53" s="312"/>
      <c r="N53" s="312"/>
      <c r="O53" s="312"/>
      <c r="P53" s="312"/>
      <c r="Q53" s="312"/>
      <c r="R53" s="312"/>
      <c r="S53" s="312"/>
    </row>
    <row r="54" customFormat="false" ht="12.75" hidden="false" customHeight="true" outlineLevel="0" collapsed="false">
      <c r="B54" s="285"/>
      <c r="C54" s="306" t="s">
        <v>706</v>
      </c>
      <c r="D54" s="335" t="n">
        <v>0.139</v>
      </c>
      <c r="E54" s="307" t="n">
        <v>73.25</v>
      </c>
      <c r="F54" s="309" t="n">
        <v>3</v>
      </c>
      <c r="G54" s="307" t="n">
        <v>0.6</v>
      </c>
      <c r="H54" s="307" t="n">
        <v>10.18</v>
      </c>
      <c r="I54" s="307" t="n">
        <v>0.42</v>
      </c>
      <c r="J54" s="346" t="n">
        <v>0.08</v>
      </c>
      <c r="M54" s="312"/>
      <c r="N54" s="312"/>
      <c r="O54" s="312"/>
      <c r="P54" s="312"/>
      <c r="Q54" s="312"/>
      <c r="R54" s="312"/>
      <c r="S54" s="312"/>
    </row>
    <row r="55" customFormat="false" ht="12.75" hidden="false" customHeight="true" outlineLevel="0" collapsed="false">
      <c r="B55" s="285"/>
      <c r="C55" s="306" t="s">
        <v>707</v>
      </c>
      <c r="D55" s="335" t="n">
        <v>0.138</v>
      </c>
      <c r="E55" s="307" t="n">
        <v>73.96</v>
      </c>
      <c r="F55" s="309" t="n">
        <v>3</v>
      </c>
      <c r="G55" s="307" t="n">
        <v>0.6</v>
      </c>
      <c r="H55" s="307" t="n">
        <v>10.21</v>
      </c>
      <c r="I55" s="307" t="n">
        <v>0.41</v>
      </c>
      <c r="J55" s="346" t="n">
        <v>0.08</v>
      </c>
      <c r="M55" s="312"/>
      <c r="N55" s="312"/>
      <c r="O55" s="312"/>
      <c r="P55" s="312"/>
      <c r="Q55" s="312"/>
      <c r="R55" s="312"/>
      <c r="S55" s="312"/>
    </row>
    <row r="56" customFormat="false" ht="12.75" hidden="false" customHeight="true" outlineLevel="0" collapsed="false">
      <c r="B56" s="285"/>
      <c r="C56" s="306" t="s">
        <v>708</v>
      </c>
      <c r="D56" s="335" t="n">
        <v>0.146</v>
      </c>
      <c r="E56" s="307" t="n">
        <v>75.04</v>
      </c>
      <c r="F56" s="309" t="n">
        <v>3</v>
      </c>
      <c r="G56" s="307" t="n">
        <v>0.6</v>
      </c>
      <c r="H56" s="307" t="n">
        <v>10.96</v>
      </c>
      <c r="I56" s="307" t="n">
        <v>0.44</v>
      </c>
      <c r="J56" s="346" t="n">
        <v>0.09</v>
      </c>
      <c r="M56" s="312"/>
      <c r="N56" s="312"/>
      <c r="O56" s="312"/>
      <c r="P56" s="312"/>
      <c r="Q56" s="312"/>
      <c r="R56" s="312"/>
      <c r="S56" s="312"/>
    </row>
    <row r="57" customFormat="false" ht="12.75" hidden="false" customHeight="true" outlineLevel="0" collapsed="false">
      <c r="B57" s="285"/>
      <c r="C57" s="306" t="s">
        <v>709</v>
      </c>
      <c r="D57" s="335" t="n">
        <v>0.068</v>
      </c>
      <c r="E57" s="307" t="n">
        <v>59.6</v>
      </c>
      <c r="F57" s="309" t="n">
        <v>3</v>
      </c>
      <c r="G57" s="307" t="n">
        <v>0.6</v>
      </c>
      <c r="H57" s="307" t="n">
        <v>4.05</v>
      </c>
      <c r="I57" s="307" t="n">
        <v>0.2</v>
      </c>
      <c r="J57" s="346" t="n">
        <v>0.04</v>
      </c>
      <c r="M57" s="312"/>
      <c r="N57" s="312"/>
      <c r="O57" s="312"/>
      <c r="P57" s="312"/>
      <c r="Q57" s="312"/>
      <c r="R57" s="312"/>
      <c r="S57" s="312"/>
    </row>
    <row r="58" customFormat="false" ht="12.75" hidden="false" customHeight="true" outlineLevel="0" collapsed="false">
      <c r="B58" s="285"/>
      <c r="C58" s="306" t="s">
        <v>710</v>
      </c>
      <c r="D58" s="335" t="n">
        <v>0.058</v>
      </c>
      <c r="E58" s="307" t="n">
        <v>65.96</v>
      </c>
      <c r="F58" s="309" t="n">
        <v>3</v>
      </c>
      <c r="G58" s="307" t="n">
        <v>0.6</v>
      </c>
      <c r="H58" s="307" t="n">
        <v>3.83</v>
      </c>
      <c r="I58" s="307" t="n">
        <v>0.17</v>
      </c>
      <c r="J58" s="346" t="n">
        <v>0.03</v>
      </c>
      <c r="M58" s="312"/>
      <c r="N58" s="312"/>
      <c r="O58" s="312"/>
      <c r="P58" s="312"/>
      <c r="Q58" s="312"/>
      <c r="R58" s="312"/>
      <c r="S58" s="312"/>
    </row>
    <row r="59" customFormat="false" ht="12.75" hidden="false" customHeight="true" outlineLevel="0" collapsed="false">
      <c r="B59" s="285"/>
      <c r="C59" s="306" t="s">
        <v>711</v>
      </c>
      <c r="D59" s="335" t="n">
        <v>0.148</v>
      </c>
      <c r="E59" s="307" t="n">
        <v>74.92</v>
      </c>
      <c r="F59" s="309" t="n">
        <v>3</v>
      </c>
      <c r="G59" s="307" t="n">
        <v>0.6</v>
      </c>
      <c r="H59" s="307" t="n">
        <v>11.09</v>
      </c>
      <c r="I59" s="307" t="n">
        <v>0.44</v>
      </c>
      <c r="J59" s="346" t="n">
        <v>0.09</v>
      </c>
      <c r="M59" s="312"/>
      <c r="N59" s="312"/>
      <c r="O59" s="312"/>
      <c r="P59" s="312"/>
      <c r="Q59" s="312"/>
      <c r="R59" s="312"/>
      <c r="S59" s="312"/>
    </row>
    <row r="60" customFormat="false" ht="12.75" hidden="false" customHeight="true" outlineLevel="0" collapsed="false">
      <c r="B60" s="285"/>
      <c r="C60" s="306" t="s">
        <v>712</v>
      </c>
      <c r="D60" s="335" t="n">
        <v>0.099</v>
      </c>
      <c r="E60" s="307" t="n">
        <v>64.94</v>
      </c>
      <c r="F60" s="309" t="n">
        <v>3</v>
      </c>
      <c r="G60" s="307" t="n">
        <v>0.6</v>
      </c>
      <c r="H60" s="307" t="n">
        <v>6.43</v>
      </c>
      <c r="I60" s="307" t="n">
        <v>0.3</v>
      </c>
      <c r="J60" s="346" t="n">
        <v>0.06</v>
      </c>
      <c r="M60" s="312"/>
      <c r="N60" s="312"/>
      <c r="O60" s="312"/>
      <c r="P60" s="312"/>
      <c r="Q60" s="312"/>
      <c r="R60" s="312"/>
      <c r="S60" s="312"/>
    </row>
    <row r="61" customFormat="false" ht="12.75" hidden="false" customHeight="true" outlineLevel="0" collapsed="false">
      <c r="B61" s="285"/>
      <c r="C61" s="306" t="s">
        <v>713</v>
      </c>
      <c r="D61" s="335" t="n">
        <v>0.103</v>
      </c>
      <c r="E61" s="307" t="n">
        <v>68.86</v>
      </c>
      <c r="F61" s="309" t="n">
        <v>3</v>
      </c>
      <c r="G61" s="307" t="n">
        <v>0.6</v>
      </c>
      <c r="H61" s="307" t="n">
        <v>7.09</v>
      </c>
      <c r="I61" s="307" t="n">
        <v>0.31</v>
      </c>
      <c r="J61" s="346" t="n">
        <v>0.06</v>
      </c>
      <c r="M61" s="312"/>
      <c r="N61" s="312"/>
      <c r="O61" s="312"/>
      <c r="P61" s="312"/>
      <c r="Q61" s="312"/>
      <c r="R61" s="312"/>
      <c r="S61" s="312"/>
    </row>
    <row r="62" customFormat="false" ht="12.75" hidden="false" customHeight="true" outlineLevel="0" collapsed="false">
      <c r="B62" s="285"/>
      <c r="C62" s="306" t="s">
        <v>714</v>
      </c>
      <c r="D62" s="335" t="n">
        <v>0.135</v>
      </c>
      <c r="E62" s="307" t="n">
        <v>75.2</v>
      </c>
      <c r="F62" s="309" t="n">
        <v>3</v>
      </c>
      <c r="G62" s="307" t="n">
        <v>0.6</v>
      </c>
      <c r="H62" s="307" t="n">
        <v>10.15</v>
      </c>
      <c r="I62" s="307" t="n">
        <v>0.41</v>
      </c>
      <c r="J62" s="346" t="n">
        <v>0.08</v>
      </c>
      <c r="M62" s="312"/>
      <c r="N62" s="312"/>
      <c r="O62" s="312"/>
      <c r="P62" s="312"/>
      <c r="Q62" s="312"/>
      <c r="R62" s="312"/>
      <c r="S62" s="312"/>
    </row>
    <row r="63" customFormat="false" ht="12.75" hidden="false" customHeight="true" outlineLevel="0" collapsed="false">
      <c r="B63" s="285"/>
      <c r="C63" s="306" t="s">
        <v>715</v>
      </c>
      <c r="D63" s="335" t="n">
        <v>0.135</v>
      </c>
      <c r="E63" s="307" t="n">
        <v>72.22</v>
      </c>
      <c r="F63" s="309" t="n">
        <v>3</v>
      </c>
      <c r="G63" s="307" t="n">
        <v>0.6</v>
      </c>
      <c r="H63" s="307" t="n">
        <v>9.75</v>
      </c>
      <c r="I63" s="307" t="n">
        <v>0.41</v>
      </c>
      <c r="J63" s="346" t="n">
        <v>0.08</v>
      </c>
      <c r="M63" s="312"/>
      <c r="N63" s="312"/>
      <c r="O63" s="312"/>
      <c r="P63" s="312"/>
      <c r="Q63" s="312"/>
      <c r="R63" s="312"/>
      <c r="S63" s="312"/>
    </row>
    <row r="64" customFormat="false" ht="12.75" hidden="false" customHeight="true" outlineLevel="0" collapsed="false">
      <c r="B64" s="285"/>
      <c r="C64" s="306" t="s">
        <v>716</v>
      </c>
      <c r="D64" s="335" t="n">
        <v>0.092</v>
      </c>
      <c r="E64" s="307" t="n">
        <v>61.71</v>
      </c>
      <c r="F64" s="309" t="n">
        <v>3</v>
      </c>
      <c r="G64" s="307" t="n">
        <v>0.6</v>
      </c>
      <c r="H64" s="307" t="n">
        <v>5.68</v>
      </c>
      <c r="I64" s="307" t="n">
        <v>0.28</v>
      </c>
      <c r="J64" s="346" t="n">
        <v>0.06</v>
      </c>
      <c r="M64" s="312"/>
      <c r="N64" s="312"/>
      <c r="O64" s="312"/>
      <c r="P64" s="312"/>
      <c r="Q64" s="312"/>
      <c r="R64" s="312"/>
      <c r="S64" s="312"/>
    </row>
    <row r="65" customFormat="false" ht="12.75" hidden="false" customHeight="true" outlineLevel="0" collapsed="false">
      <c r="B65" s="285"/>
      <c r="C65" s="306" t="s">
        <v>717</v>
      </c>
      <c r="D65" s="335" t="n">
        <v>0.144</v>
      </c>
      <c r="E65" s="307" t="n">
        <v>74.27</v>
      </c>
      <c r="F65" s="309" t="n">
        <v>3</v>
      </c>
      <c r="G65" s="307" t="n">
        <v>0.6</v>
      </c>
      <c r="H65" s="307" t="n">
        <v>10.69</v>
      </c>
      <c r="I65" s="307" t="n">
        <v>0.43</v>
      </c>
      <c r="J65" s="346" t="n">
        <v>0.09</v>
      </c>
      <c r="M65" s="312"/>
      <c r="N65" s="312"/>
      <c r="O65" s="312"/>
      <c r="P65" s="312"/>
      <c r="Q65" s="312"/>
      <c r="R65" s="312"/>
      <c r="S65" s="312"/>
    </row>
    <row r="66" customFormat="false" ht="12.75" hidden="false" customHeight="true" outlineLevel="0" collapsed="false">
      <c r="B66" s="285"/>
      <c r="C66" s="306" t="s">
        <v>718</v>
      </c>
      <c r="D66" s="335" t="n">
        <v>0.125</v>
      </c>
      <c r="E66" s="307" t="n">
        <v>70.22</v>
      </c>
      <c r="F66" s="309" t="n">
        <v>3</v>
      </c>
      <c r="G66" s="307" t="n">
        <v>0.6</v>
      </c>
      <c r="H66" s="307" t="n">
        <v>8.78</v>
      </c>
      <c r="I66" s="307" t="n">
        <v>0.38</v>
      </c>
      <c r="J66" s="346" t="n">
        <v>0.08</v>
      </c>
      <c r="M66" s="312"/>
      <c r="N66" s="312"/>
      <c r="O66" s="312"/>
      <c r="P66" s="312"/>
      <c r="Q66" s="312"/>
      <c r="R66" s="312"/>
      <c r="S66" s="312"/>
    </row>
    <row r="67" customFormat="false" ht="12.75" hidden="false" customHeight="true" outlineLevel="0" collapsed="false">
      <c r="B67" s="285"/>
      <c r="C67" s="306" t="s">
        <v>719</v>
      </c>
      <c r="D67" s="335" t="n">
        <v>0.125</v>
      </c>
      <c r="E67" s="307" t="n">
        <v>68.02</v>
      </c>
      <c r="F67" s="309" t="n">
        <v>3</v>
      </c>
      <c r="G67" s="307" t="n">
        <v>0.6</v>
      </c>
      <c r="H67" s="307" t="n">
        <v>8.5</v>
      </c>
      <c r="I67" s="307" t="n">
        <v>0.38</v>
      </c>
      <c r="J67" s="346" t="n">
        <v>0.08</v>
      </c>
      <c r="M67" s="312"/>
      <c r="N67" s="312"/>
      <c r="O67" s="312"/>
      <c r="P67" s="312"/>
      <c r="Q67" s="312"/>
      <c r="R67" s="312"/>
      <c r="S67" s="312"/>
    </row>
    <row r="68" customFormat="false" ht="12.75" hidden="false" customHeight="true" outlineLevel="0" collapsed="false">
      <c r="B68" s="285"/>
      <c r="C68" s="306" t="s">
        <v>720</v>
      </c>
      <c r="D68" s="335" t="n">
        <v>0.11</v>
      </c>
      <c r="E68" s="307" t="n">
        <v>66.88</v>
      </c>
      <c r="F68" s="309" t="n">
        <v>3</v>
      </c>
      <c r="G68" s="307" t="n">
        <v>0.6</v>
      </c>
      <c r="H68" s="307" t="n">
        <v>7.36</v>
      </c>
      <c r="I68" s="307" t="n">
        <v>0.33</v>
      </c>
      <c r="J68" s="346" t="n">
        <v>0.07</v>
      </c>
      <c r="M68" s="312"/>
      <c r="N68" s="312"/>
      <c r="O68" s="312"/>
      <c r="P68" s="312"/>
      <c r="Q68" s="312"/>
      <c r="R68" s="312"/>
      <c r="S68" s="312"/>
    </row>
    <row r="69" customFormat="false" ht="12.75" hidden="false" customHeight="true" outlineLevel="0" collapsed="false">
      <c r="B69" s="285"/>
      <c r="C69" s="306" t="s">
        <v>721</v>
      </c>
      <c r="D69" s="335" t="n">
        <v>0.139</v>
      </c>
      <c r="E69" s="307" t="n">
        <v>76.22</v>
      </c>
      <c r="F69" s="309" t="n">
        <v>3</v>
      </c>
      <c r="G69" s="307" t="n">
        <v>0.6</v>
      </c>
      <c r="H69" s="307" t="n">
        <v>10.59</v>
      </c>
      <c r="I69" s="307" t="n">
        <v>0.42</v>
      </c>
      <c r="J69" s="346" t="n">
        <v>0.08</v>
      </c>
      <c r="M69" s="312"/>
      <c r="N69" s="312"/>
      <c r="O69" s="312"/>
      <c r="P69" s="312"/>
      <c r="Q69" s="312"/>
      <c r="R69" s="312"/>
      <c r="S69" s="312"/>
    </row>
    <row r="70" customFormat="false" ht="12.75" hidden="false" customHeight="true" outlineLevel="0" collapsed="false">
      <c r="B70" s="285"/>
      <c r="C70" s="306" t="s">
        <v>722</v>
      </c>
      <c r="D70" s="335" t="n">
        <v>0.11</v>
      </c>
      <c r="E70" s="307" t="n">
        <v>70.02</v>
      </c>
      <c r="F70" s="309" t="n">
        <v>3</v>
      </c>
      <c r="G70" s="307" t="n">
        <v>0.6</v>
      </c>
      <c r="H70" s="307" t="n">
        <v>7.7</v>
      </c>
      <c r="I70" s="307" t="n">
        <v>0.33</v>
      </c>
      <c r="J70" s="346" t="n">
        <v>0.07</v>
      </c>
      <c r="M70" s="312"/>
      <c r="N70" s="312"/>
      <c r="O70" s="312"/>
      <c r="P70" s="312"/>
      <c r="Q70" s="312"/>
      <c r="R70" s="312"/>
      <c r="S70" s="312"/>
    </row>
    <row r="71" customFormat="false" ht="12.75" hidden="false" customHeight="true" outlineLevel="0" collapsed="false">
      <c r="B71" s="285"/>
      <c r="C71" s="306" t="s">
        <v>723</v>
      </c>
      <c r="D71" s="335" t="n">
        <v>0.125</v>
      </c>
      <c r="E71" s="307" t="n">
        <v>71.02</v>
      </c>
      <c r="F71" s="309" t="n">
        <v>3</v>
      </c>
      <c r="G71" s="307" t="n">
        <v>0.6</v>
      </c>
      <c r="H71" s="307" t="n">
        <v>8.88</v>
      </c>
      <c r="I71" s="307" t="n">
        <v>0.38</v>
      </c>
      <c r="J71" s="346" t="n">
        <v>0.08</v>
      </c>
      <c r="M71" s="312"/>
      <c r="N71" s="312"/>
      <c r="O71" s="312"/>
      <c r="P71" s="312"/>
      <c r="Q71" s="312"/>
      <c r="R71" s="312"/>
      <c r="S71" s="312"/>
    </row>
    <row r="72" customFormat="false" ht="12.75" hidden="false" customHeight="true" outlineLevel="0" collapsed="false">
      <c r="B72" s="285"/>
      <c r="C72" s="306" t="s">
        <v>73</v>
      </c>
      <c r="D72" s="335" t="n">
        <v>0.091</v>
      </c>
      <c r="E72" s="307" t="n">
        <v>62.87</v>
      </c>
      <c r="F72" s="309" t="n">
        <v>3</v>
      </c>
      <c r="G72" s="307" t="n">
        <v>0.6</v>
      </c>
      <c r="H72" s="307" t="n">
        <v>5.72</v>
      </c>
      <c r="I72" s="307" t="n">
        <v>0.27</v>
      </c>
      <c r="J72" s="346" t="n">
        <v>0.05</v>
      </c>
      <c r="K72" s="347"/>
      <c r="M72" s="312"/>
      <c r="N72" s="312"/>
      <c r="O72" s="312"/>
      <c r="P72" s="312"/>
      <c r="Q72" s="312"/>
      <c r="R72" s="312"/>
      <c r="S72" s="312"/>
    </row>
    <row r="73" customFormat="false" ht="12.75" hidden="false" customHeight="true" outlineLevel="0" collapsed="false">
      <c r="B73" s="285"/>
      <c r="C73" s="306" t="s">
        <v>724</v>
      </c>
      <c r="D73" s="335" t="n">
        <v>0.091</v>
      </c>
      <c r="E73" s="307" t="n">
        <v>67.77</v>
      </c>
      <c r="F73" s="309" t="n">
        <v>3</v>
      </c>
      <c r="G73" s="307" t="n">
        <v>0.6</v>
      </c>
      <c r="H73" s="307" t="n">
        <v>6.17</v>
      </c>
      <c r="I73" s="307" t="n">
        <v>0.27</v>
      </c>
      <c r="J73" s="346" t="n">
        <v>0.05</v>
      </c>
      <c r="M73" s="312"/>
      <c r="N73" s="312"/>
      <c r="O73" s="312"/>
      <c r="P73" s="312"/>
      <c r="Q73" s="312"/>
      <c r="R73" s="312"/>
      <c r="S73" s="312"/>
    </row>
    <row r="74" customFormat="false" ht="12.75" hidden="false" customHeight="true" outlineLevel="0" collapsed="false">
      <c r="B74" s="285"/>
      <c r="C74" s="306" t="s">
        <v>725</v>
      </c>
      <c r="D74" s="335" t="n">
        <v>0.14</v>
      </c>
      <c r="E74" s="307" t="n">
        <v>72.93</v>
      </c>
      <c r="F74" s="309" t="n">
        <v>3</v>
      </c>
      <c r="G74" s="307" t="n">
        <v>0.6</v>
      </c>
      <c r="H74" s="307" t="n">
        <v>10.21</v>
      </c>
      <c r="I74" s="307" t="n">
        <v>0.42</v>
      </c>
      <c r="J74" s="346" t="n">
        <v>0.08</v>
      </c>
      <c r="M74" s="312"/>
      <c r="N74" s="312"/>
      <c r="O74" s="312"/>
      <c r="P74" s="312"/>
      <c r="Q74" s="312"/>
      <c r="R74" s="312"/>
      <c r="S74" s="312"/>
    </row>
    <row r="75" customFormat="false" ht="12.75" hidden="false" customHeight="true" outlineLevel="0" collapsed="false">
      <c r="B75" s="285"/>
      <c r="C75" s="306" t="s">
        <v>726</v>
      </c>
      <c r="D75" s="335" t="n">
        <v>0.15</v>
      </c>
      <c r="E75" s="307" t="n">
        <v>75.1</v>
      </c>
      <c r="F75" s="309" t="n">
        <v>3</v>
      </c>
      <c r="G75" s="307" t="n">
        <v>0.6</v>
      </c>
      <c r="H75" s="307" t="n">
        <v>11.27</v>
      </c>
      <c r="I75" s="307" t="n">
        <v>0.45</v>
      </c>
      <c r="J75" s="346" t="n">
        <v>0.09</v>
      </c>
      <c r="M75" s="312"/>
      <c r="N75" s="312"/>
      <c r="O75" s="312"/>
      <c r="P75" s="312"/>
      <c r="Q75" s="312"/>
      <c r="R75" s="312"/>
      <c r="S75" s="312"/>
    </row>
    <row r="76" customFormat="false" ht="12.75" hidden="false" customHeight="true" outlineLevel="0" collapsed="false">
      <c r="B76" s="285"/>
      <c r="C76" s="306" t="s">
        <v>727</v>
      </c>
      <c r="D76" s="335" t="n">
        <v>0.125</v>
      </c>
      <c r="E76" s="307" t="n">
        <v>72.34</v>
      </c>
      <c r="F76" s="309" t="n">
        <v>3</v>
      </c>
      <c r="G76" s="307" t="n">
        <v>0.6</v>
      </c>
      <c r="H76" s="307" t="n">
        <v>9.04</v>
      </c>
      <c r="I76" s="307" t="n">
        <v>0.38</v>
      </c>
      <c r="J76" s="346" t="n">
        <v>0.08</v>
      </c>
      <c r="M76" s="312"/>
      <c r="N76" s="312"/>
      <c r="O76" s="312"/>
      <c r="P76" s="312"/>
      <c r="Q76" s="312"/>
      <c r="R76" s="312"/>
      <c r="S76" s="312"/>
    </row>
    <row r="77" customFormat="false" ht="12.75" hidden="false" customHeight="true" outlineLevel="0" collapsed="false">
      <c r="B77" s="285"/>
      <c r="C77" s="306" t="s">
        <v>728</v>
      </c>
      <c r="D77" s="335" t="n">
        <v>0.139</v>
      </c>
      <c r="E77" s="307" t="n">
        <v>74.54</v>
      </c>
      <c r="F77" s="309" t="n">
        <v>3</v>
      </c>
      <c r="G77" s="307" t="n">
        <v>0.6</v>
      </c>
      <c r="H77" s="307" t="n">
        <v>10.36</v>
      </c>
      <c r="I77" s="307" t="n">
        <v>0.42</v>
      </c>
      <c r="J77" s="346" t="n">
        <v>0.08</v>
      </c>
      <c r="M77" s="312"/>
      <c r="N77" s="312"/>
      <c r="O77" s="312"/>
      <c r="P77" s="312"/>
      <c r="Q77" s="312"/>
      <c r="R77" s="312"/>
      <c r="S77" s="312"/>
    </row>
    <row r="78" customFormat="false" ht="12.75" hidden="false" customHeight="true" outlineLevel="0" collapsed="false">
      <c r="B78" s="285"/>
      <c r="C78" s="306" t="s">
        <v>729</v>
      </c>
      <c r="D78" s="335" t="n">
        <v>0.138</v>
      </c>
      <c r="E78" s="307" t="n">
        <v>74</v>
      </c>
      <c r="F78" s="309" t="n">
        <v>3</v>
      </c>
      <c r="G78" s="307" t="n">
        <v>0.6</v>
      </c>
      <c r="H78" s="307" t="n">
        <v>10.21</v>
      </c>
      <c r="I78" s="307" t="n">
        <v>0.41</v>
      </c>
      <c r="J78" s="346" t="n">
        <v>0.08</v>
      </c>
      <c r="M78" s="312"/>
      <c r="N78" s="312"/>
      <c r="O78" s="312"/>
      <c r="P78" s="312"/>
      <c r="Q78" s="312"/>
      <c r="R78" s="312"/>
      <c r="S78" s="312"/>
    </row>
    <row r="79" s="287" customFormat="true" ht="12.75" hidden="false" customHeight="true" outlineLevel="0" collapsed="false">
      <c r="B79" s="343"/>
      <c r="C79" s="344" t="s">
        <v>730</v>
      </c>
      <c r="E79" s="348"/>
      <c r="H79" s="349"/>
      <c r="I79" s="349"/>
      <c r="J79" s="350"/>
      <c r="K79" s="268"/>
      <c r="L79" s="268"/>
      <c r="M79" s="312"/>
      <c r="N79" s="312"/>
      <c r="O79" s="312"/>
      <c r="P79" s="312"/>
      <c r="Q79" s="312"/>
      <c r="R79" s="312"/>
      <c r="S79" s="312"/>
    </row>
    <row r="80" customFormat="false" ht="12.75" hidden="false" customHeight="true" outlineLevel="0" collapsed="false">
      <c r="B80" s="285"/>
      <c r="C80" s="306" t="s">
        <v>731</v>
      </c>
      <c r="D80" s="335" t="n">
        <v>0.128</v>
      </c>
      <c r="E80" s="307" t="n">
        <v>73.84</v>
      </c>
      <c r="F80" s="309" t="n">
        <v>1.1</v>
      </c>
      <c r="G80" s="307" t="n">
        <v>0.11</v>
      </c>
      <c r="H80" s="307" t="n">
        <v>9.45</v>
      </c>
      <c r="I80" s="307" t="n">
        <v>0.14</v>
      </c>
      <c r="J80" s="346" t="n">
        <v>0.01</v>
      </c>
      <c r="M80" s="312"/>
      <c r="N80" s="312"/>
      <c r="O80" s="312"/>
      <c r="P80" s="312"/>
      <c r="Q80" s="312"/>
      <c r="R80" s="312"/>
      <c r="S80" s="312"/>
    </row>
    <row r="81" customFormat="false" ht="12.75" hidden="false" customHeight="true" outlineLevel="0" collapsed="false">
      <c r="B81" s="285"/>
      <c r="C81" s="306" t="s">
        <v>732</v>
      </c>
      <c r="D81" s="335" t="n">
        <v>0.084</v>
      </c>
      <c r="E81" s="307" t="n">
        <v>68.44</v>
      </c>
      <c r="F81" s="309" t="n">
        <v>1.1</v>
      </c>
      <c r="G81" s="307" t="n">
        <v>0.11</v>
      </c>
      <c r="H81" s="307" t="n">
        <v>5.75</v>
      </c>
      <c r="I81" s="307" t="n">
        <v>0.09</v>
      </c>
      <c r="J81" s="346" t="n">
        <v>0.01</v>
      </c>
      <c r="M81" s="312"/>
      <c r="N81" s="312"/>
      <c r="O81" s="312"/>
      <c r="P81" s="312"/>
      <c r="Q81" s="312"/>
      <c r="R81" s="312"/>
      <c r="S81" s="312"/>
    </row>
    <row r="82" customFormat="false" ht="12.75" hidden="false" customHeight="true" outlineLevel="0" collapsed="false">
      <c r="B82" s="285"/>
      <c r="C82" s="306" t="s">
        <v>733</v>
      </c>
      <c r="D82" s="335" t="n">
        <v>0.125</v>
      </c>
      <c r="E82" s="307" t="n">
        <v>71.06</v>
      </c>
      <c r="F82" s="309" t="n">
        <v>1.1</v>
      </c>
      <c r="G82" s="307" t="n">
        <v>0.11</v>
      </c>
      <c r="H82" s="307" t="n">
        <v>8.88</v>
      </c>
      <c r="I82" s="307" t="n">
        <v>0.14</v>
      </c>
      <c r="J82" s="346" t="n">
        <v>0.01</v>
      </c>
      <c r="M82" s="312"/>
      <c r="N82" s="312"/>
      <c r="O82" s="312"/>
      <c r="P82" s="312"/>
      <c r="Q82" s="312"/>
      <c r="R82" s="312"/>
      <c r="S82" s="312"/>
    </row>
    <row r="83" customFormat="false" ht="12.75" hidden="false" customHeight="true" outlineLevel="0" collapsed="false">
      <c r="B83" s="285"/>
      <c r="C83" s="306" t="s">
        <v>734</v>
      </c>
      <c r="D83" s="335" t="n">
        <v>0.12</v>
      </c>
      <c r="E83" s="307" t="n">
        <v>81.55</v>
      </c>
      <c r="F83" s="309" t="n">
        <v>1.1</v>
      </c>
      <c r="G83" s="307" t="n">
        <v>0.11</v>
      </c>
      <c r="H83" s="307" t="n">
        <v>9.79</v>
      </c>
      <c r="I83" s="307" t="n">
        <v>0.13</v>
      </c>
      <c r="J83" s="346" t="n">
        <v>0.01</v>
      </c>
      <c r="M83" s="312"/>
      <c r="N83" s="312"/>
      <c r="O83" s="312"/>
      <c r="P83" s="312"/>
      <c r="Q83" s="312"/>
      <c r="R83" s="312"/>
      <c r="S83" s="312"/>
    </row>
    <row r="84" s="287" customFormat="true" ht="39" hidden="false" customHeight="true" outlineLevel="0" collapsed="false">
      <c r="B84" s="343"/>
      <c r="C84" s="351" t="s">
        <v>735</v>
      </c>
      <c r="E84" s="348"/>
      <c r="H84" s="349"/>
      <c r="I84" s="349"/>
      <c r="J84" s="350"/>
      <c r="K84" s="268"/>
      <c r="L84" s="268"/>
      <c r="M84" s="312"/>
      <c r="N84" s="312"/>
      <c r="O84" s="312"/>
      <c r="P84" s="312"/>
      <c r="Q84" s="312"/>
      <c r="R84" s="312"/>
      <c r="S84" s="312"/>
    </row>
    <row r="85" customFormat="false" ht="12.75" hidden="false" customHeight="true" outlineLevel="0" collapsed="false">
      <c r="B85" s="285"/>
      <c r="C85" s="306" t="s">
        <v>736</v>
      </c>
      <c r="D85" s="349"/>
      <c r="E85" s="309" t="n">
        <v>94.4</v>
      </c>
      <c r="F85" s="309" t="n">
        <v>1.9</v>
      </c>
      <c r="G85" s="307" t="n">
        <v>0.42</v>
      </c>
      <c r="H85" s="349"/>
      <c r="I85" s="349"/>
      <c r="J85" s="350"/>
      <c r="M85" s="312"/>
      <c r="N85" s="312"/>
      <c r="O85" s="312"/>
      <c r="P85" s="312"/>
      <c r="Q85" s="312"/>
      <c r="R85" s="312"/>
      <c r="S85" s="312"/>
    </row>
    <row r="86" customFormat="false" ht="12.75" hidden="false" customHeight="true" outlineLevel="0" collapsed="false">
      <c r="B86" s="285"/>
      <c r="C86" s="306" t="s">
        <v>737</v>
      </c>
      <c r="D86" s="349"/>
      <c r="E86" s="309" t="n">
        <v>93.7</v>
      </c>
      <c r="F86" s="309" t="n">
        <v>1.9</v>
      </c>
      <c r="G86" s="307" t="n">
        <v>0.42</v>
      </c>
      <c r="H86" s="349"/>
      <c r="I86" s="349"/>
      <c r="J86" s="350"/>
      <c r="M86" s="312"/>
      <c r="N86" s="312"/>
      <c r="O86" s="312"/>
      <c r="P86" s="312"/>
      <c r="Q86" s="312"/>
      <c r="R86" s="312"/>
      <c r="S86" s="312"/>
    </row>
    <row r="87" customFormat="false" ht="12.75" hidden="false" customHeight="true" outlineLevel="0" collapsed="false">
      <c r="B87" s="285"/>
      <c r="C87" s="306" t="s">
        <v>738</v>
      </c>
      <c r="D87" s="349"/>
      <c r="E87" s="309" t="n">
        <v>95.5</v>
      </c>
      <c r="F87" s="309" t="n">
        <v>1.9</v>
      </c>
      <c r="G87" s="307" t="n">
        <v>0.42</v>
      </c>
      <c r="H87" s="349"/>
      <c r="I87" s="349"/>
      <c r="J87" s="350"/>
      <c r="M87" s="312"/>
      <c r="N87" s="312"/>
      <c r="O87" s="312"/>
      <c r="P87" s="312"/>
      <c r="Q87" s="312"/>
      <c r="R87" s="312"/>
      <c r="S87" s="312"/>
    </row>
    <row r="88" customFormat="false" ht="12.75" hidden="false" customHeight="true" outlineLevel="0" collapsed="false">
      <c r="B88" s="285"/>
      <c r="C88" s="306" t="s">
        <v>739</v>
      </c>
      <c r="D88" s="349"/>
      <c r="E88" s="309" t="n">
        <v>93.7</v>
      </c>
      <c r="F88" s="309" t="n">
        <v>1.9</v>
      </c>
      <c r="G88" s="307" t="n">
        <v>0.42</v>
      </c>
      <c r="H88" s="349"/>
      <c r="I88" s="349"/>
      <c r="J88" s="350"/>
      <c r="M88" s="312"/>
      <c r="N88" s="312"/>
      <c r="O88" s="312"/>
      <c r="P88" s="312"/>
      <c r="Q88" s="312"/>
      <c r="R88" s="312"/>
      <c r="S88" s="312"/>
    </row>
    <row r="89" customFormat="false" ht="13.5" hidden="false" customHeight="true" outlineLevel="0" collapsed="false">
      <c r="B89" s="285"/>
      <c r="C89" s="352" t="s">
        <v>740</v>
      </c>
      <c r="D89" s="353"/>
      <c r="E89" s="354" t="n">
        <v>95.1</v>
      </c>
      <c r="F89" s="354" t="n">
        <v>1.9</v>
      </c>
      <c r="G89" s="355" t="n">
        <v>0.42</v>
      </c>
      <c r="H89" s="353"/>
      <c r="I89" s="353"/>
      <c r="J89" s="356"/>
      <c r="M89" s="312"/>
      <c r="N89" s="312"/>
      <c r="O89" s="312"/>
      <c r="P89" s="312"/>
      <c r="Q89" s="312"/>
      <c r="R89" s="312"/>
      <c r="S89" s="312"/>
    </row>
    <row r="90" s="287" customFormat="true" ht="12.75" hidden="false" customHeight="true" outlineLevel="0" collapsed="false">
      <c r="B90" s="343"/>
      <c r="C90" s="357" t="s">
        <v>741</v>
      </c>
      <c r="E90" s="348"/>
      <c r="F90" s="348"/>
      <c r="G90" s="348"/>
      <c r="M90" s="312"/>
      <c r="N90" s="312"/>
      <c r="O90" s="312"/>
      <c r="P90" s="312"/>
      <c r="Q90" s="312"/>
      <c r="R90" s="312"/>
      <c r="S90" s="312"/>
    </row>
    <row r="91" customFormat="false" ht="12.75" hidden="false" customHeight="true" outlineLevel="0" collapsed="false">
      <c r="C91" s="358" t="s">
        <v>742</v>
      </c>
      <c r="D91" s="358"/>
      <c r="E91" s="358"/>
      <c r="F91" s="358"/>
      <c r="G91" s="358"/>
      <c r="H91" s="358"/>
      <c r="I91" s="358"/>
      <c r="J91" s="358"/>
      <c r="K91" s="358"/>
      <c r="M91" s="329"/>
    </row>
    <row r="92" customFormat="false" ht="12.75" hidden="false" customHeight="true" outlineLevel="0" collapsed="false">
      <c r="C92" s="359" t="s">
        <v>743</v>
      </c>
      <c r="K92" s="271"/>
      <c r="M92" s="329"/>
      <c r="N92" s="360"/>
      <c r="O92" s="361"/>
      <c r="P92" s="361"/>
      <c r="Q92" s="360"/>
      <c r="S92" s="362"/>
    </row>
    <row r="93" customFormat="false" ht="12.75" hidden="false" customHeight="true" outlineLevel="0" collapsed="false">
      <c r="C93" s="358" t="s">
        <v>744</v>
      </c>
      <c r="D93" s="358"/>
      <c r="E93" s="358"/>
      <c r="F93" s="358"/>
      <c r="G93" s="358"/>
      <c r="H93" s="358"/>
      <c r="I93" s="358"/>
      <c r="J93" s="358"/>
      <c r="K93" s="358"/>
      <c r="M93" s="329"/>
      <c r="N93" s="360"/>
      <c r="O93" s="361"/>
      <c r="P93" s="361"/>
      <c r="Q93" s="360"/>
      <c r="S93" s="362"/>
    </row>
    <row r="94" customFormat="false" ht="12.75" hidden="false" customHeight="true" outlineLevel="0" collapsed="false">
      <c r="C94" s="363" t="s">
        <v>745</v>
      </c>
      <c r="D94" s="364"/>
      <c r="E94" s="364"/>
      <c r="F94" s="364"/>
      <c r="G94" s="364"/>
      <c r="H94" s="364"/>
      <c r="I94" s="364"/>
      <c r="J94" s="364"/>
      <c r="K94" s="364"/>
      <c r="M94" s="329"/>
      <c r="N94" s="360"/>
      <c r="O94" s="361"/>
      <c r="P94" s="361"/>
      <c r="Q94" s="360"/>
      <c r="S94" s="362"/>
    </row>
    <row r="95" customFormat="false" ht="15" hidden="false" customHeight="true" outlineLevel="0" collapsed="false">
      <c r="C95" s="363" t="s">
        <v>746</v>
      </c>
      <c r="D95" s="364"/>
      <c r="E95" s="364"/>
      <c r="F95" s="364"/>
      <c r="G95" s="364"/>
      <c r="H95" s="364"/>
      <c r="I95" s="364"/>
      <c r="J95" s="364"/>
      <c r="K95" s="364"/>
      <c r="M95" s="329"/>
      <c r="N95" s="360"/>
      <c r="O95" s="361"/>
      <c r="P95" s="361"/>
      <c r="Q95" s="360"/>
      <c r="S95" s="362"/>
    </row>
    <row r="96" customFormat="false" ht="15" hidden="false" customHeight="true" outlineLevel="0" collapsed="false">
      <c r="C96" s="363" t="s">
        <v>747</v>
      </c>
      <c r="D96" s="364"/>
      <c r="E96" s="364"/>
      <c r="F96" s="364"/>
      <c r="G96" s="364"/>
      <c r="H96" s="364"/>
      <c r="I96" s="364"/>
      <c r="J96" s="364"/>
      <c r="K96" s="364"/>
      <c r="M96" s="329"/>
      <c r="N96" s="360"/>
      <c r="O96" s="361"/>
      <c r="P96" s="361"/>
      <c r="Q96" s="360"/>
      <c r="S96" s="362"/>
    </row>
    <row r="97" customFormat="false" ht="12.75" hidden="false" customHeight="true" outlineLevel="0" collapsed="false">
      <c r="C97" s="363" t="s">
        <v>748</v>
      </c>
      <c r="D97" s="364"/>
      <c r="E97" s="364"/>
      <c r="F97" s="364"/>
      <c r="G97" s="364"/>
      <c r="H97" s="364"/>
      <c r="I97" s="364"/>
      <c r="J97" s="364"/>
      <c r="K97" s="364"/>
      <c r="M97" s="329"/>
      <c r="N97" s="360"/>
      <c r="O97" s="361"/>
      <c r="P97" s="361"/>
      <c r="Q97" s="360"/>
      <c r="S97" s="362"/>
    </row>
    <row r="98" customFormat="false" ht="12.75" hidden="false" customHeight="true" outlineLevel="0" collapsed="false">
      <c r="C98" s="365" t="s">
        <v>749</v>
      </c>
      <c r="D98" s="364"/>
      <c r="E98" s="364"/>
      <c r="F98" s="364"/>
      <c r="G98" s="364"/>
      <c r="H98" s="364"/>
      <c r="I98" s="364"/>
      <c r="J98" s="364"/>
      <c r="K98" s="364"/>
      <c r="M98" s="329"/>
      <c r="N98" s="360"/>
      <c r="O98" s="361"/>
      <c r="P98" s="361"/>
      <c r="Q98" s="360"/>
      <c r="S98" s="362"/>
    </row>
    <row r="99" customFormat="false" ht="12.75" hidden="false" customHeight="true" outlineLevel="0" collapsed="false">
      <c r="C99" s="363" t="s">
        <v>750</v>
      </c>
      <c r="D99" s="364"/>
      <c r="E99" s="364"/>
      <c r="F99" s="364"/>
      <c r="G99" s="364"/>
      <c r="H99" s="364"/>
      <c r="I99" s="364"/>
      <c r="J99" s="364"/>
      <c r="K99" s="364"/>
      <c r="M99" s="329"/>
      <c r="N99" s="360"/>
      <c r="O99" s="361"/>
      <c r="P99" s="361"/>
      <c r="Q99" s="360"/>
      <c r="S99" s="362"/>
    </row>
    <row r="101" s="287" customFormat="true" ht="18" hidden="false" customHeight="true" outlineLevel="0" collapsed="false">
      <c r="B101" s="288" t="s">
        <v>751</v>
      </c>
      <c r="C101" s="289" t="s">
        <v>752</v>
      </c>
      <c r="D101" s="290"/>
      <c r="E101" s="290"/>
      <c r="F101" s="290"/>
      <c r="G101" s="291"/>
      <c r="H101" s="291"/>
      <c r="I101" s="291"/>
      <c r="J101" s="291"/>
      <c r="K101" s="291"/>
      <c r="L101" s="292"/>
    </row>
    <row r="102" customFormat="false" ht="13.5" hidden="false" customHeight="true" outlineLevel="0" collapsed="false"/>
    <row r="103" s="343" customFormat="true" ht="15.75" hidden="false" customHeight="true" outlineLevel="0" collapsed="false">
      <c r="C103" s="366" t="s">
        <v>63</v>
      </c>
      <c r="D103" s="367" t="s">
        <v>753</v>
      </c>
      <c r="E103" s="368" t="s">
        <v>64</v>
      </c>
      <c r="F103" s="268"/>
      <c r="G103" s="298"/>
      <c r="H103" s="329"/>
      <c r="I103" s="369"/>
      <c r="J103" s="369"/>
      <c r="M103" s="268"/>
      <c r="N103" s="268"/>
      <c r="O103" s="268"/>
      <c r="P103" s="268"/>
      <c r="Q103" s="268"/>
      <c r="R103" s="268"/>
      <c r="S103" s="268"/>
      <c r="T103" s="268"/>
    </row>
    <row r="104" customFormat="false" ht="12.75" hidden="false" customHeight="true" outlineLevel="0" collapsed="false">
      <c r="C104" s="370" t="s">
        <v>702</v>
      </c>
      <c r="D104" s="371" t="n">
        <v>8.31</v>
      </c>
      <c r="E104" s="372" t="s">
        <v>754</v>
      </c>
      <c r="F104" s="373"/>
      <c r="G104" s="329"/>
      <c r="H104" s="329"/>
      <c r="I104" s="369"/>
      <c r="M104" s="312"/>
      <c r="N104" s="312"/>
    </row>
    <row r="105" customFormat="false" ht="12.75" hidden="false" customHeight="true" outlineLevel="0" collapsed="false">
      <c r="C105" s="339" t="s">
        <v>731</v>
      </c>
      <c r="D105" s="341" t="n">
        <v>9.45</v>
      </c>
      <c r="E105" s="374" t="s">
        <v>754</v>
      </c>
      <c r="F105" s="329"/>
      <c r="G105" s="329"/>
      <c r="H105" s="329"/>
      <c r="I105" s="369"/>
      <c r="M105" s="312"/>
      <c r="N105" s="312"/>
    </row>
    <row r="106" customFormat="false" ht="12.75" hidden="false" customHeight="true" outlineLevel="0" collapsed="false">
      <c r="C106" s="339" t="s">
        <v>96</v>
      </c>
      <c r="D106" s="375" t="n">
        <v>0.05444</v>
      </c>
      <c r="E106" s="374" t="s">
        <v>755</v>
      </c>
      <c r="F106" s="329"/>
      <c r="G106" s="329"/>
      <c r="H106" s="329"/>
      <c r="I106" s="369"/>
      <c r="M106" s="312"/>
      <c r="N106" s="312"/>
    </row>
    <row r="107" customFormat="false" ht="12.75" hidden="false" customHeight="true" outlineLevel="0" collapsed="false">
      <c r="B107" s="285"/>
      <c r="C107" s="339" t="s">
        <v>585</v>
      </c>
      <c r="D107" s="341" t="n">
        <v>10.21</v>
      </c>
      <c r="E107" s="374" t="s">
        <v>754</v>
      </c>
      <c r="F107" s="329"/>
      <c r="G107" s="329"/>
      <c r="H107" s="329"/>
      <c r="I107" s="369"/>
      <c r="M107" s="312"/>
      <c r="N107" s="312"/>
    </row>
    <row r="108" customFormat="false" ht="12.75" hidden="false" customHeight="true" outlineLevel="0" collapsed="false">
      <c r="C108" s="339" t="s">
        <v>732</v>
      </c>
      <c r="D108" s="341" t="n">
        <v>5.75</v>
      </c>
      <c r="E108" s="374" t="s">
        <v>754</v>
      </c>
      <c r="F108" s="329"/>
      <c r="G108" s="329"/>
      <c r="H108" s="329"/>
      <c r="I108" s="369"/>
      <c r="M108" s="312"/>
      <c r="N108" s="312"/>
    </row>
    <row r="109" customFormat="false" ht="12.75" hidden="false" customHeight="true" outlineLevel="0" collapsed="false">
      <c r="C109" s="339" t="s">
        <v>715</v>
      </c>
      <c r="D109" s="341" t="n">
        <v>9.75</v>
      </c>
      <c r="E109" s="374" t="s">
        <v>754</v>
      </c>
      <c r="F109" s="329"/>
      <c r="G109" s="329"/>
      <c r="H109" s="329"/>
      <c r="I109" s="369"/>
      <c r="M109" s="312"/>
      <c r="N109" s="312"/>
    </row>
    <row r="110" customFormat="false" ht="12.75" hidden="false" customHeight="true" outlineLevel="0" collapsed="false">
      <c r="C110" s="339" t="s">
        <v>99</v>
      </c>
      <c r="D110" s="341" t="n">
        <v>4.5</v>
      </c>
      <c r="E110" s="374" t="s">
        <v>754</v>
      </c>
      <c r="F110" s="271"/>
      <c r="G110" s="329"/>
      <c r="H110" s="329"/>
      <c r="I110" s="369"/>
      <c r="M110" s="312"/>
      <c r="N110" s="312"/>
      <c r="O110" s="376"/>
      <c r="P110" s="329"/>
    </row>
    <row r="111" customFormat="false" ht="12.75" hidden="false" customHeight="true" outlineLevel="0" collapsed="false">
      <c r="C111" s="339" t="s">
        <v>716</v>
      </c>
      <c r="D111" s="341" t="n">
        <v>5.68</v>
      </c>
      <c r="E111" s="374" t="s">
        <v>754</v>
      </c>
      <c r="F111" s="329"/>
      <c r="G111" s="377"/>
      <c r="H111" s="329"/>
      <c r="I111" s="369"/>
      <c r="M111" s="312"/>
      <c r="N111" s="312"/>
    </row>
    <row r="112" customFormat="false" ht="12.75" hidden="false" customHeight="true" outlineLevel="0" collapsed="false">
      <c r="C112" s="339" t="s">
        <v>718</v>
      </c>
      <c r="D112" s="341" t="n">
        <v>8.78</v>
      </c>
      <c r="E112" s="374" t="s">
        <v>754</v>
      </c>
      <c r="F112" s="329"/>
      <c r="G112" s="329"/>
      <c r="H112" s="329"/>
      <c r="I112" s="369"/>
      <c r="M112" s="312"/>
      <c r="N112" s="312"/>
    </row>
    <row r="113" customFormat="false" ht="13.5" hidden="false" customHeight="true" outlineLevel="0" collapsed="false">
      <c r="C113" s="378" t="s">
        <v>756</v>
      </c>
      <c r="D113" s="379" t="n">
        <v>11.27</v>
      </c>
      <c r="E113" s="380" t="s">
        <v>754</v>
      </c>
      <c r="F113" s="329"/>
      <c r="G113" s="329"/>
      <c r="H113" s="329"/>
      <c r="I113" s="369"/>
      <c r="J113" s="369"/>
      <c r="M113" s="312"/>
      <c r="N113" s="312"/>
    </row>
    <row r="114" s="287" customFormat="true" ht="12.75" hidden="false" customHeight="true" outlineLevel="0" collapsed="false">
      <c r="B114" s="343"/>
      <c r="C114" s="357" t="s">
        <v>741</v>
      </c>
      <c r="M114" s="329"/>
    </row>
    <row r="115" customFormat="false" ht="12.75" hidden="false" customHeight="true" outlineLevel="0" collapsed="false">
      <c r="C115" s="358" t="s">
        <v>757</v>
      </c>
      <c r="D115" s="358"/>
      <c r="E115" s="358"/>
      <c r="F115" s="358"/>
      <c r="G115" s="358"/>
      <c r="H115" s="358"/>
      <c r="I115" s="358"/>
      <c r="J115" s="358"/>
      <c r="K115" s="358"/>
    </row>
    <row r="116" customFormat="false" ht="12.75" hidden="false" customHeight="true" outlineLevel="0" collapsed="false">
      <c r="C116" s="359" t="s">
        <v>743</v>
      </c>
      <c r="K116" s="271"/>
    </row>
    <row r="117" customFormat="false" ht="12.75" hidden="false" customHeight="true" outlineLevel="0" collapsed="false">
      <c r="C117" s="358" t="s">
        <v>744</v>
      </c>
      <c r="D117" s="358"/>
      <c r="E117" s="358"/>
      <c r="F117" s="358"/>
      <c r="G117" s="358"/>
      <c r="H117" s="358"/>
      <c r="I117" s="358"/>
      <c r="J117" s="358"/>
      <c r="K117" s="358"/>
    </row>
    <row r="118" s="268" customFormat="true" ht="28.5" hidden="false" customHeight="true" outlineLevel="0" collapsed="false">
      <c r="C118" s="286" t="s">
        <v>758</v>
      </c>
      <c r="D118" s="286"/>
      <c r="E118" s="286"/>
      <c r="F118" s="286"/>
      <c r="G118" s="286"/>
      <c r="H118" s="286"/>
      <c r="I118" s="286"/>
      <c r="J118" s="286"/>
      <c r="K118" s="286"/>
    </row>
    <row r="119" customFormat="false" ht="12.75" hidden="false" customHeight="true" outlineLevel="0" collapsed="false">
      <c r="C119" s="381" t="s">
        <v>759</v>
      </c>
      <c r="D119" s="382"/>
      <c r="E119" s="382"/>
      <c r="F119" s="382"/>
      <c r="G119" s="382"/>
      <c r="H119" s="382"/>
      <c r="I119" s="382"/>
      <c r="J119" s="382"/>
      <c r="K119" s="382"/>
    </row>
    <row r="120" customFormat="false" ht="12.75" hidden="false" customHeight="true" outlineLevel="0" collapsed="false">
      <c r="C120" s="363" t="s">
        <v>748</v>
      </c>
      <c r="D120" s="364"/>
      <c r="E120" s="364"/>
      <c r="F120" s="364"/>
      <c r="G120" s="364"/>
      <c r="H120" s="364"/>
      <c r="I120" s="364"/>
      <c r="J120" s="364"/>
      <c r="K120" s="364"/>
      <c r="M120" s="329"/>
      <c r="N120" s="360"/>
      <c r="O120" s="361"/>
      <c r="P120" s="361"/>
      <c r="Q120" s="360"/>
      <c r="S120" s="362"/>
    </row>
    <row r="121" customFormat="false" ht="12.75" hidden="false" customHeight="true" outlineLevel="0" collapsed="false">
      <c r="C121" s="365" t="s">
        <v>749</v>
      </c>
      <c r="D121" s="364"/>
      <c r="E121" s="364"/>
      <c r="F121" s="364"/>
      <c r="G121" s="364"/>
      <c r="H121" s="364"/>
      <c r="I121" s="364"/>
      <c r="J121" s="364"/>
      <c r="K121" s="364"/>
      <c r="M121" s="329"/>
      <c r="N121" s="360"/>
      <c r="O121" s="361"/>
      <c r="P121" s="361"/>
      <c r="Q121" s="360"/>
      <c r="S121" s="362"/>
    </row>
    <row r="122" customFormat="false" ht="12.75" hidden="false" customHeight="true" outlineLevel="0" collapsed="false">
      <c r="C122" s="363" t="s">
        <v>760</v>
      </c>
      <c r="D122" s="382"/>
      <c r="E122" s="382"/>
      <c r="G122" s="382"/>
      <c r="H122" s="382"/>
      <c r="I122" s="382"/>
      <c r="J122" s="382"/>
      <c r="K122" s="382"/>
    </row>
    <row r="123" customFormat="false" ht="12.75" hidden="false" customHeight="true" outlineLevel="0" collapsed="false">
      <c r="C123" s="282"/>
      <c r="F123" s="382"/>
    </row>
    <row r="124" customFormat="false" ht="18" hidden="false" customHeight="true" outlineLevel="0" collapsed="false">
      <c r="B124" s="383" t="s">
        <v>761</v>
      </c>
      <c r="C124" s="384" t="s">
        <v>762</v>
      </c>
      <c r="D124" s="385"/>
      <c r="E124" s="385"/>
      <c r="F124" s="385"/>
      <c r="G124" s="385"/>
      <c r="H124" s="385"/>
      <c r="I124" s="385"/>
      <c r="J124" s="385"/>
      <c r="K124" s="385"/>
      <c r="L124" s="386"/>
    </row>
    <row r="125" s="268" customFormat="true" ht="13.5" hidden="false" customHeight="true" outlineLevel="0" collapsed="false"/>
    <row r="126" s="268" customFormat="true" ht="31.5" hidden="false" customHeight="true" outlineLevel="0" collapsed="false">
      <c r="C126" s="366" t="s">
        <v>763</v>
      </c>
      <c r="D126" s="387" t="s">
        <v>764</v>
      </c>
      <c r="E126" s="367" t="s">
        <v>765</v>
      </c>
      <c r="F126" s="368" t="s">
        <v>766</v>
      </c>
      <c r="H126" s="329"/>
    </row>
    <row r="127" s="268" customFormat="true" ht="12.75" hidden="false" customHeight="true" outlineLevel="0" collapsed="false">
      <c r="C127" s="388" t="s">
        <v>767</v>
      </c>
      <c r="D127" s="389" t="s">
        <v>768</v>
      </c>
      <c r="E127" s="390" t="n">
        <v>0.1696</v>
      </c>
      <c r="F127" s="391" t="n">
        <v>0.0197</v>
      </c>
    </row>
    <row r="128" s="268" customFormat="true" ht="12.75" hidden="false" customHeight="true" outlineLevel="0" collapsed="false">
      <c r="C128" s="392"/>
      <c r="D128" s="393" t="n">
        <v>1975</v>
      </c>
      <c r="E128" s="394" t="n">
        <v>0.1423</v>
      </c>
      <c r="F128" s="395" t="n">
        <v>0.0443</v>
      </c>
    </row>
    <row r="129" s="268" customFormat="true" ht="12.75" hidden="false" customHeight="true" outlineLevel="0" collapsed="false">
      <c r="C129" s="392"/>
      <c r="D129" s="393" t="s">
        <v>769</v>
      </c>
      <c r="E129" s="394" t="n">
        <v>0.1406</v>
      </c>
      <c r="F129" s="395" t="n">
        <v>0.0458</v>
      </c>
    </row>
    <row r="130" s="268" customFormat="true" ht="12.75" hidden="false" customHeight="true" outlineLevel="0" collapsed="false">
      <c r="C130" s="392"/>
      <c r="D130" s="393" t="s">
        <v>770</v>
      </c>
      <c r="E130" s="394" t="n">
        <v>0.1389</v>
      </c>
      <c r="F130" s="395" t="n">
        <v>0.0473</v>
      </c>
    </row>
    <row r="131" s="268" customFormat="true" ht="12.75" hidden="false" customHeight="true" outlineLevel="0" collapsed="false">
      <c r="C131" s="392"/>
      <c r="D131" s="393" t="n">
        <v>1980</v>
      </c>
      <c r="E131" s="394" t="n">
        <v>0.1326</v>
      </c>
      <c r="F131" s="395" t="n">
        <v>0.0499</v>
      </c>
    </row>
    <row r="132" s="268" customFormat="true" ht="12.75" hidden="false" customHeight="true" outlineLevel="0" collapsed="false">
      <c r="C132" s="392"/>
      <c r="D132" s="393" t="n">
        <v>1981</v>
      </c>
      <c r="E132" s="394" t="n">
        <v>0.0802</v>
      </c>
      <c r="F132" s="395" t="n">
        <v>0.0626</v>
      </c>
    </row>
    <row r="133" s="268" customFormat="true" ht="12.75" hidden="false" customHeight="true" outlineLevel="0" collapsed="false">
      <c r="C133" s="392"/>
      <c r="D133" s="393" t="n">
        <v>1982</v>
      </c>
      <c r="E133" s="394" t="n">
        <v>0.0795</v>
      </c>
      <c r="F133" s="395" t="n">
        <v>0.0627</v>
      </c>
    </row>
    <row r="134" s="268" customFormat="true" ht="12.75" hidden="false" customHeight="true" outlineLevel="0" collapsed="false">
      <c r="C134" s="392"/>
      <c r="D134" s="393" t="n">
        <v>1983</v>
      </c>
      <c r="E134" s="394" t="n">
        <v>0.0782</v>
      </c>
      <c r="F134" s="395" t="n">
        <v>0.063</v>
      </c>
    </row>
    <row r="135" s="268" customFormat="true" ht="12.75" hidden="false" customHeight="true" outlineLevel="0" collapsed="false">
      <c r="C135" s="392"/>
      <c r="D135" s="393" t="s">
        <v>771</v>
      </c>
      <c r="E135" s="394" t="n">
        <v>0.0704</v>
      </c>
      <c r="F135" s="395" t="n">
        <v>0.0647</v>
      </c>
    </row>
    <row r="136" s="268" customFormat="true" ht="12.75" hidden="false" customHeight="true" outlineLevel="0" collapsed="false">
      <c r="C136" s="392"/>
      <c r="D136" s="396" t="n">
        <v>1994</v>
      </c>
      <c r="E136" s="397" t="n">
        <v>0.0617</v>
      </c>
      <c r="F136" s="398" t="n">
        <v>0.0603</v>
      </c>
    </row>
    <row r="137" s="268" customFormat="true" ht="12.75" hidden="false" customHeight="true" outlineLevel="0" collapsed="false">
      <c r="C137" s="392"/>
      <c r="D137" s="396" t="n">
        <v>1995</v>
      </c>
      <c r="E137" s="397" t="n">
        <v>0.0531</v>
      </c>
      <c r="F137" s="398" t="n">
        <v>0.056</v>
      </c>
    </row>
    <row r="138" s="268" customFormat="true" ht="12.75" hidden="false" customHeight="true" outlineLevel="0" collapsed="false">
      <c r="C138" s="392"/>
      <c r="D138" s="396" t="n">
        <v>1996</v>
      </c>
      <c r="E138" s="397" t="n">
        <v>0.0434</v>
      </c>
      <c r="F138" s="398" t="n">
        <v>0.0503</v>
      </c>
    </row>
    <row r="139" s="268" customFormat="true" ht="12.75" hidden="false" customHeight="true" outlineLevel="0" collapsed="false">
      <c r="C139" s="392"/>
      <c r="D139" s="396" t="n">
        <v>1997</v>
      </c>
      <c r="E139" s="397" t="n">
        <v>0.0337</v>
      </c>
      <c r="F139" s="398" t="n">
        <v>0.0446</v>
      </c>
    </row>
    <row r="140" s="268" customFormat="true" ht="12.75" hidden="false" customHeight="true" outlineLevel="0" collapsed="false">
      <c r="C140" s="392"/>
      <c r="D140" s="396" t="n">
        <v>1998</v>
      </c>
      <c r="E140" s="397" t="n">
        <v>0.024</v>
      </c>
      <c r="F140" s="398" t="n">
        <v>0.0389</v>
      </c>
    </row>
    <row r="141" s="268" customFormat="true" ht="12.75" hidden="false" customHeight="true" outlineLevel="0" collapsed="false">
      <c r="C141" s="392"/>
      <c r="D141" s="396" t="n">
        <v>1999</v>
      </c>
      <c r="E141" s="397" t="n">
        <v>0.0215</v>
      </c>
      <c r="F141" s="398" t="n">
        <v>0.0355</v>
      </c>
    </row>
    <row r="142" s="268" customFormat="true" ht="12.75" hidden="false" customHeight="true" outlineLevel="0" collapsed="false">
      <c r="C142" s="392"/>
      <c r="D142" s="396" t="n">
        <v>2000</v>
      </c>
      <c r="E142" s="397" t="n">
        <v>0.0175</v>
      </c>
      <c r="F142" s="398" t="n">
        <v>0.0304</v>
      </c>
    </row>
    <row r="143" s="268" customFormat="true" ht="12.75" hidden="false" customHeight="true" outlineLevel="0" collapsed="false">
      <c r="C143" s="392"/>
      <c r="D143" s="396" t="n">
        <v>2001</v>
      </c>
      <c r="E143" s="397" t="n">
        <v>0.0105</v>
      </c>
      <c r="F143" s="398" t="n">
        <v>0.0212</v>
      </c>
    </row>
    <row r="144" s="268" customFormat="true" ht="12.75" hidden="false" customHeight="true" outlineLevel="0" collapsed="false">
      <c r="C144" s="392"/>
      <c r="D144" s="396" t="n">
        <v>2002</v>
      </c>
      <c r="E144" s="397" t="n">
        <v>0.0102</v>
      </c>
      <c r="F144" s="398" t="n">
        <v>0.0207</v>
      </c>
    </row>
    <row r="145" s="268" customFormat="true" ht="12.75" hidden="false" customHeight="true" outlineLevel="0" collapsed="false">
      <c r="C145" s="392"/>
      <c r="D145" s="396" t="n">
        <v>2003</v>
      </c>
      <c r="E145" s="397" t="n">
        <v>0.0095</v>
      </c>
      <c r="F145" s="398" t="n">
        <v>0.0181</v>
      </c>
    </row>
    <row r="146" s="268" customFormat="true" ht="12.75" hidden="false" customHeight="true" outlineLevel="0" collapsed="false">
      <c r="C146" s="392"/>
      <c r="D146" s="396" t="n">
        <v>2004</v>
      </c>
      <c r="E146" s="397" t="n">
        <v>0.0078</v>
      </c>
      <c r="F146" s="398" t="n">
        <v>0.0085</v>
      </c>
    </row>
    <row r="147" s="268" customFormat="true" ht="12.75" hidden="false" customHeight="true" outlineLevel="0" collapsed="false">
      <c r="C147" s="392"/>
      <c r="D147" s="396" t="n">
        <v>2005</v>
      </c>
      <c r="E147" s="397" t="n">
        <v>0.0075</v>
      </c>
      <c r="F147" s="398" t="n">
        <v>0.0067</v>
      </c>
    </row>
    <row r="148" s="268" customFormat="true" ht="12.75" hidden="false" customHeight="true" outlineLevel="0" collapsed="false">
      <c r="C148" s="392"/>
      <c r="D148" s="396" t="n">
        <v>2006</v>
      </c>
      <c r="E148" s="397" t="n">
        <v>0.0076</v>
      </c>
      <c r="F148" s="398" t="n">
        <v>0.0075</v>
      </c>
    </row>
    <row r="149" s="268" customFormat="true" ht="12.75" hidden="false" customHeight="true" outlineLevel="0" collapsed="false">
      <c r="C149" s="392"/>
      <c r="D149" s="396" t="n">
        <v>2007</v>
      </c>
      <c r="E149" s="397" t="n">
        <v>0.0072</v>
      </c>
      <c r="F149" s="398" t="n">
        <v>0.0052</v>
      </c>
    </row>
    <row r="150" s="268" customFormat="true" ht="12.75" hidden="false" customHeight="true" outlineLevel="0" collapsed="false">
      <c r="C150" s="392"/>
      <c r="D150" s="396" t="n">
        <v>2008</v>
      </c>
      <c r="E150" s="397" t="n">
        <v>0.0072</v>
      </c>
      <c r="F150" s="398" t="n">
        <v>0.0049</v>
      </c>
    </row>
    <row r="151" s="268" customFormat="true" ht="12.75" hidden="false" customHeight="true" outlineLevel="0" collapsed="false">
      <c r="C151" s="392"/>
      <c r="D151" s="396" t="n">
        <v>2009</v>
      </c>
      <c r="E151" s="399" t="n">
        <v>0.0071</v>
      </c>
      <c r="F151" s="400" t="n">
        <v>0.0046</v>
      </c>
    </row>
    <row r="152" s="268" customFormat="true" ht="12.75" hidden="false" customHeight="true" outlineLevel="0" collapsed="false">
      <c r="C152" s="392"/>
      <c r="D152" s="396" t="n">
        <v>2010</v>
      </c>
      <c r="E152" s="399" t="n">
        <v>0.0071</v>
      </c>
      <c r="F152" s="400" t="n">
        <v>0.0046</v>
      </c>
    </row>
    <row r="153" s="268" customFormat="true" ht="12.75" hidden="false" customHeight="true" outlineLevel="0" collapsed="false">
      <c r="C153" s="392"/>
      <c r="D153" s="396" t="n">
        <v>2011</v>
      </c>
      <c r="E153" s="399" t="n">
        <v>0.0071</v>
      </c>
      <c r="F153" s="400" t="n">
        <v>0.0046</v>
      </c>
    </row>
    <row r="154" s="268" customFormat="true" ht="12.75" hidden="false" customHeight="true" outlineLevel="0" collapsed="false">
      <c r="C154" s="392"/>
      <c r="D154" s="396" t="n">
        <v>2012</v>
      </c>
      <c r="E154" s="399" t="n">
        <v>0.0071</v>
      </c>
      <c r="F154" s="400" t="n">
        <v>0.0046</v>
      </c>
    </row>
    <row r="155" s="268" customFormat="true" ht="12.75" hidden="false" customHeight="true" outlineLevel="0" collapsed="false">
      <c r="C155" s="392"/>
      <c r="D155" s="396" t="n">
        <v>2013</v>
      </c>
      <c r="E155" s="399" t="n">
        <v>0.0071</v>
      </c>
      <c r="F155" s="400" t="n">
        <v>0.0046</v>
      </c>
    </row>
    <row r="156" s="268" customFormat="true" ht="12.75" hidden="false" customHeight="true" outlineLevel="0" collapsed="false">
      <c r="C156" s="392"/>
      <c r="D156" s="396" t="n">
        <v>2014</v>
      </c>
      <c r="E156" s="399" t="n">
        <v>0.0071</v>
      </c>
      <c r="F156" s="400" t="n">
        <v>0.0046</v>
      </c>
    </row>
    <row r="157" s="268" customFormat="true" ht="12.75" hidden="false" customHeight="true" outlineLevel="0" collapsed="false">
      <c r="C157" s="392"/>
      <c r="D157" s="396" t="n">
        <v>2015</v>
      </c>
      <c r="E157" s="399" t="n">
        <v>0.0068</v>
      </c>
      <c r="F157" s="400" t="n">
        <v>0.0042</v>
      </c>
    </row>
    <row r="158" s="268" customFormat="true" ht="12.75" hidden="false" customHeight="true" outlineLevel="0" collapsed="false">
      <c r="C158" s="392"/>
      <c r="D158" s="396" t="n">
        <v>2016</v>
      </c>
      <c r="E158" s="399" t="n">
        <v>0.0065</v>
      </c>
      <c r="F158" s="400" t="n">
        <v>0.0038</v>
      </c>
    </row>
    <row r="159" s="268" customFormat="true" ht="12.75" hidden="false" customHeight="true" outlineLevel="0" collapsed="false">
      <c r="C159" s="392"/>
      <c r="D159" s="396" t="n">
        <v>2017</v>
      </c>
      <c r="E159" s="399" t="n">
        <v>0.0054</v>
      </c>
      <c r="F159" s="400" t="n">
        <v>0.0018</v>
      </c>
    </row>
    <row r="160" s="268" customFormat="true" ht="12.75" hidden="false" customHeight="true" outlineLevel="0" collapsed="false">
      <c r="C160" s="392"/>
      <c r="D160" s="396" t="n">
        <v>2018</v>
      </c>
      <c r="E160" s="399" t="n">
        <v>0.0052</v>
      </c>
      <c r="F160" s="400" t="n">
        <v>0.0016</v>
      </c>
    </row>
    <row r="161" s="268" customFormat="true" ht="12.75" hidden="false" customHeight="true" outlineLevel="0" collapsed="false">
      <c r="C161" s="392"/>
      <c r="D161" s="396" t="n">
        <v>2019</v>
      </c>
      <c r="E161" s="399" t="n">
        <v>0.0051</v>
      </c>
      <c r="F161" s="400" t="n">
        <v>0.0015</v>
      </c>
    </row>
    <row r="162" s="268" customFormat="true" ht="12.75" hidden="false" customHeight="true" outlineLevel="0" collapsed="false">
      <c r="C162" s="392"/>
      <c r="D162" s="396" t="n">
        <v>2020</v>
      </c>
      <c r="E162" s="399" t="n">
        <v>0.005</v>
      </c>
      <c r="F162" s="400" t="n">
        <v>0.0014</v>
      </c>
    </row>
    <row r="163" s="268" customFormat="true" ht="12.75" hidden="false" customHeight="true" outlineLevel="0" collapsed="false">
      <c r="C163" s="392"/>
      <c r="D163" s="396" t="n">
        <v>2021</v>
      </c>
      <c r="E163" s="399" t="n">
        <v>0.0051</v>
      </c>
      <c r="F163" s="400" t="n">
        <v>0.0014</v>
      </c>
    </row>
    <row r="164" s="268" customFormat="true" ht="13.5" hidden="false" customHeight="true" outlineLevel="0" collapsed="false">
      <c r="C164" s="401"/>
      <c r="D164" s="396" t="n">
        <v>2022</v>
      </c>
      <c r="E164" s="402" t="n">
        <v>0.005</v>
      </c>
      <c r="F164" s="403" t="n">
        <v>0.0014</v>
      </c>
    </row>
    <row r="165" s="268" customFormat="true" ht="12.75" hidden="false" customHeight="true" outlineLevel="0" collapsed="false">
      <c r="C165" s="388" t="s">
        <v>772</v>
      </c>
      <c r="D165" s="389" t="s">
        <v>768</v>
      </c>
      <c r="E165" s="390" t="n">
        <v>0.1908</v>
      </c>
      <c r="F165" s="391" t="n">
        <v>0.0218</v>
      </c>
    </row>
    <row r="166" s="268" customFormat="true" ht="12.75" hidden="false" customHeight="true" outlineLevel="0" collapsed="false">
      <c r="C166" s="392" t="s">
        <v>773</v>
      </c>
      <c r="D166" s="396" t="n">
        <v>1975</v>
      </c>
      <c r="E166" s="397" t="n">
        <v>0.1634</v>
      </c>
      <c r="F166" s="398" t="n">
        <v>0.0513</v>
      </c>
    </row>
    <row r="167" s="268" customFormat="true" ht="12.75" hidden="false" customHeight="true" outlineLevel="0" collapsed="false">
      <c r="C167" s="392"/>
      <c r="D167" s="396" t="n">
        <v>1976</v>
      </c>
      <c r="E167" s="397" t="n">
        <v>0.1594</v>
      </c>
      <c r="F167" s="398" t="n">
        <v>0.0555</v>
      </c>
    </row>
    <row r="168" s="268" customFormat="true" ht="12.75" hidden="false" customHeight="true" outlineLevel="0" collapsed="false">
      <c r="C168" s="392"/>
      <c r="D168" s="396" t="s">
        <v>774</v>
      </c>
      <c r="E168" s="397" t="n">
        <v>0.1614</v>
      </c>
      <c r="F168" s="398" t="n">
        <v>0.0534</v>
      </c>
    </row>
    <row r="169" s="268" customFormat="true" ht="12.75" hidden="false" customHeight="true" outlineLevel="0" collapsed="false">
      <c r="C169" s="392"/>
      <c r="D169" s="396" t="s">
        <v>775</v>
      </c>
      <c r="E169" s="397" t="n">
        <v>0.1594</v>
      </c>
      <c r="F169" s="398" t="n">
        <v>0.0555</v>
      </c>
    </row>
    <row r="170" s="268" customFormat="true" ht="12.75" hidden="false" customHeight="true" outlineLevel="0" collapsed="false">
      <c r="C170" s="392"/>
      <c r="D170" s="396" t="n">
        <v>1981</v>
      </c>
      <c r="E170" s="397" t="n">
        <v>0.1479</v>
      </c>
      <c r="F170" s="398" t="n">
        <v>0.066</v>
      </c>
    </row>
    <row r="171" s="268" customFormat="true" ht="12.75" hidden="false" customHeight="true" outlineLevel="0" collapsed="false">
      <c r="C171" s="392"/>
      <c r="D171" s="396" t="n">
        <v>1982</v>
      </c>
      <c r="E171" s="397" t="n">
        <v>0.1442</v>
      </c>
      <c r="F171" s="398" t="n">
        <v>0.0681</v>
      </c>
    </row>
    <row r="172" s="268" customFormat="true" ht="12.75" hidden="false" customHeight="true" outlineLevel="0" collapsed="false">
      <c r="C172" s="392"/>
      <c r="D172" s="396" t="n">
        <v>1983</v>
      </c>
      <c r="E172" s="397" t="n">
        <v>0.1368</v>
      </c>
      <c r="F172" s="398" t="n">
        <v>0.0722</v>
      </c>
    </row>
    <row r="173" s="268" customFormat="true" ht="12.75" hidden="false" customHeight="true" outlineLevel="0" collapsed="false">
      <c r="C173" s="392"/>
      <c r="D173" s="396" t="n">
        <v>1984</v>
      </c>
      <c r="E173" s="397" t="n">
        <v>0.1294</v>
      </c>
      <c r="F173" s="398" t="n">
        <v>0.0764</v>
      </c>
    </row>
    <row r="174" s="268" customFormat="true" ht="12.75" hidden="false" customHeight="true" outlineLevel="0" collapsed="false">
      <c r="C174" s="392"/>
      <c r="D174" s="396" t="n">
        <v>1985</v>
      </c>
      <c r="E174" s="397" t="n">
        <v>0.122</v>
      </c>
      <c r="F174" s="398" t="n">
        <v>0.0806</v>
      </c>
    </row>
    <row r="175" s="268" customFormat="true" ht="12.75" hidden="false" customHeight="true" outlineLevel="0" collapsed="false">
      <c r="C175" s="392"/>
      <c r="D175" s="396" t="n">
        <v>1986</v>
      </c>
      <c r="E175" s="397" t="n">
        <v>0.1146</v>
      </c>
      <c r="F175" s="398" t="n">
        <v>0.0848</v>
      </c>
    </row>
    <row r="176" s="268" customFormat="true" ht="12.75" hidden="false" customHeight="true" outlineLevel="0" collapsed="false">
      <c r="C176" s="392"/>
      <c r="D176" s="396" t="s">
        <v>776</v>
      </c>
      <c r="E176" s="397" t="n">
        <v>0.0813</v>
      </c>
      <c r="F176" s="398" t="n">
        <v>0.1035</v>
      </c>
    </row>
    <row r="177" s="268" customFormat="true" ht="12.75" hidden="false" customHeight="true" outlineLevel="0" collapsed="false">
      <c r="C177" s="392"/>
      <c r="D177" s="396" t="n">
        <v>1994</v>
      </c>
      <c r="E177" s="397" t="n">
        <v>0.0646</v>
      </c>
      <c r="F177" s="398" t="n">
        <v>0.0982</v>
      </c>
    </row>
    <row r="178" s="268" customFormat="true" ht="12.75" hidden="false" customHeight="true" outlineLevel="0" collapsed="false">
      <c r="C178" s="392"/>
      <c r="D178" s="396" t="n">
        <v>1995</v>
      </c>
      <c r="E178" s="397" t="n">
        <v>0.0517</v>
      </c>
      <c r="F178" s="398" t="n">
        <v>0.0908</v>
      </c>
    </row>
    <row r="179" s="268" customFormat="true" ht="12.75" hidden="false" customHeight="true" outlineLevel="0" collapsed="false">
      <c r="C179" s="392"/>
      <c r="D179" s="396" t="n">
        <v>1996</v>
      </c>
      <c r="E179" s="397" t="n">
        <v>0.0452</v>
      </c>
      <c r="F179" s="398" t="n">
        <v>0.0871</v>
      </c>
    </row>
    <row r="180" s="268" customFormat="true" ht="12.75" hidden="false" customHeight="true" outlineLevel="0" collapsed="false">
      <c r="C180" s="392"/>
      <c r="D180" s="396" t="n">
        <v>1997</v>
      </c>
      <c r="E180" s="397" t="n">
        <v>0.0452</v>
      </c>
      <c r="F180" s="398" t="n">
        <v>0.0871</v>
      </c>
    </row>
    <row r="181" s="268" customFormat="true" ht="12.75" hidden="false" customHeight="true" outlineLevel="0" collapsed="false">
      <c r="C181" s="392"/>
      <c r="D181" s="396" t="n">
        <v>1998</v>
      </c>
      <c r="E181" s="397" t="n">
        <v>0.0412</v>
      </c>
      <c r="F181" s="398" t="n">
        <v>0.0787</v>
      </c>
    </row>
    <row r="182" s="268" customFormat="true" ht="12.75" hidden="false" customHeight="true" outlineLevel="0" collapsed="false">
      <c r="C182" s="392"/>
      <c r="D182" s="396" t="n">
        <v>1999</v>
      </c>
      <c r="E182" s="397" t="n">
        <v>0.0333</v>
      </c>
      <c r="F182" s="398" t="n">
        <v>0.0618</v>
      </c>
    </row>
    <row r="183" s="268" customFormat="true" ht="12.75" hidden="false" customHeight="true" outlineLevel="0" collapsed="false">
      <c r="C183" s="392"/>
      <c r="D183" s="396" t="n">
        <v>2000</v>
      </c>
      <c r="E183" s="397" t="n">
        <v>0.034</v>
      </c>
      <c r="F183" s="398" t="n">
        <v>0.0631</v>
      </c>
    </row>
    <row r="184" s="268" customFormat="true" ht="12.75" hidden="false" customHeight="true" outlineLevel="0" collapsed="false">
      <c r="C184" s="392"/>
      <c r="D184" s="396" t="n">
        <v>2001</v>
      </c>
      <c r="E184" s="397" t="n">
        <v>0.0221</v>
      </c>
      <c r="F184" s="398" t="n">
        <v>0.0379</v>
      </c>
    </row>
    <row r="185" s="268" customFormat="true" ht="12.75" hidden="false" customHeight="true" outlineLevel="0" collapsed="false">
      <c r="C185" s="392"/>
      <c r="D185" s="396" t="n">
        <v>2002</v>
      </c>
      <c r="E185" s="397" t="n">
        <v>0.0242</v>
      </c>
      <c r="F185" s="398" t="n">
        <v>0.0424</v>
      </c>
    </row>
    <row r="186" s="268" customFormat="true" ht="12.75" hidden="false" customHeight="true" outlineLevel="0" collapsed="false">
      <c r="C186" s="392"/>
      <c r="D186" s="396" t="n">
        <v>2003</v>
      </c>
      <c r="E186" s="397" t="n">
        <v>0.0221</v>
      </c>
      <c r="F186" s="398" t="n">
        <v>0.0373</v>
      </c>
    </row>
    <row r="187" s="268" customFormat="true" ht="12.75" hidden="false" customHeight="true" outlineLevel="0" collapsed="false">
      <c r="C187" s="392"/>
      <c r="D187" s="396" t="n">
        <v>2004</v>
      </c>
      <c r="E187" s="397" t="n">
        <v>0.0115</v>
      </c>
      <c r="F187" s="398" t="n">
        <v>0.0088</v>
      </c>
    </row>
    <row r="188" s="268" customFormat="true" ht="12.75" hidden="false" customHeight="true" outlineLevel="0" collapsed="false">
      <c r="C188" s="392"/>
      <c r="D188" s="396" t="n">
        <v>2005</v>
      </c>
      <c r="E188" s="397" t="n">
        <v>0.0105</v>
      </c>
      <c r="F188" s="398" t="n">
        <v>0.0064</v>
      </c>
    </row>
    <row r="189" s="268" customFormat="true" ht="12.75" hidden="false" customHeight="true" outlineLevel="0" collapsed="false">
      <c r="C189" s="392"/>
      <c r="D189" s="396" t="n">
        <v>2006</v>
      </c>
      <c r="E189" s="397" t="n">
        <v>0.0108</v>
      </c>
      <c r="F189" s="398" t="n">
        <v>0.008</v>
      </c>
    </row>
    <row r="190" s="268" customFormat="true" ht="12.75" hidden="false" customHeight="true" outlineLevel="0" collapsed="false">
      <c r="C190" s="392"/>
      <c r="D190" s="396" t="n">
        <v>2007</v>
      </c>
      <c r="E190" s="397" t="n">
        <v>0.0103</v>
      </c>
      <c r="F190" s="398" t="n">
        <v>0.0061</v>
      </c>
    </row>
    <row r="191" s="268" customFormat="true" ht="12.75" hidden="false" customHeight="true" outlineLevel="0" collapsed="false">
      <c r="C191" s="392"/>
      <c r="D191" s="396" t="n">
        <v>2008</v>
      </c>
      <c r="E191" s="399" t="n">
        <v>0.0095</v>
      </c>
      <c r="F191" s="400" t="n">
        <v>0.0036</v>
      </c>
    </row>
    <row r="192" s="268" customFormat="true" ht="12.75" hidden="false" customHeight="true" outlineLevel="0" collapsed="false">
      <c r="C192" s="392"/>
      <c r="D192" s="396" t="n">
        <v>2009</v>
      </c>
      <c r="E192" s="399" t="n">
        <v>0.0095</v>
      </c>
      <c r="F192" s="400" t="n">
        <v>0.0036</v>
      </c>
    </row>
    <row r="193" s="268" customFormat="true" ht="12.75" hidden="false" customHeight="true" outlineLevel="0" collapsed="false">
      <c r="C193" s="392"/>
      <c r="D193" s="396" t="n">
        <v>2010</v>
      </c>
      <c r="E193" s="399" t="n">
        <v>0.0095</v>
      </c>
      <c r="F193" s="400" t="n">
        <v>0.0035</v>
      </c>
    </row>
    <row r="194" s="268" customFormat="true" ht="12.75" hidden="false" customHeight="true" outlineLevel="0" collapsed="false">
      <c r="C194" s="392"/>
      <c r="D194" s="396" t="n">
        <v>2011</v>
      </c>
      <c r="E194" s="399" t="n">
        <v>0.0096</v>
      </c>
      <c r="F194" s="400" t="n">
        <v>0.0034</v>
      </c>
    </row>
    <row r="195" s="268" customFormat="true" ht="12.75" hidden="false" customHeight="true" outlineLevel="0" collapsed="false">
      <c r="C195" s="392"/>
      <c r="D195" s="396" t="n">
        <v>2012</v>
      </c>
      <c r="E195" s="399" t="n">
        <v>0.0096</v>
      </c>
      <c r="F195" s="400" t="n">
        <v>0.0033</v>
      </c>
    </row>
    <row r="196" s="268" customFormat="true" ht="12.75" hidden="false" customHeight="true" outlineLevel="0" collapsed="false">
      <c r="C196" s="392"/>
      <c r="D196" s="396" t="n">
        <v>2013</v>
      </c>
      <c r="E196" s="399" t="n">
        <v>0.0095</v>
      </c>
      <c r="F196" s="400" t="n">
        <v>0.0035</v>
      </c>
    </row>
    <row r="197" s="268" customFormat="true" ht="12.75" hidden="false" customHeight="true" outlineLevel="0" collapsed="false">
      <c r="C197" s="392"/>
      <c r="D197" s="396" t="n">
        <v>2014</v>
      </c>
      <c r="E197" s="399" t="n">
        <v>0.0095</v>
      </c>
      <c r="F197" s="400" t="n">
        <v>0.0033</v>
      </c>
    </row>
    <row r="198" s="268" customFormat="true" ht="12.75" hidden="false" customHeight="true" outlineLevel="0" collapsed="false">
      <c r="C198" s="392"/>
      <c r="D198" s="396" t="n">
        <v>2015</v>
      </c>
      <c r="E198" s="399" t="n">
        <v>0.0094</v>
      </c>
      <c r="F198" s="400" t="n">
        <v>0.0031</v>
      </c>
    </row>
    <row r="199" s="268" customFormat="true" ht="12.75" hidden="false" customHeight="true" outlineLevel="0" collapsed="false">
      <c r="C199" s="392"/>
      <c r="D199" s="396" t="n">
        <v>2016</v>
      </c>
      <c r="E199" s="399" t="n">
        <v>0.0091</v>
      </c>
      <c r="F199" s="400" t="n">
        <v>0.0029</v>
      </c>
    </row>
    <row r="200" s="268" customFormat="true" ht="12.75" hidden="false" customHeight="true" outlineLevel="0" collapsed="false">
      <c r="C200" s="392"/>
      <c r="D200" s="396" t="n">
        <v>2017</v>
      </c>
      <c r="E200" s="399" t="n">
        <v>0.0084</v>
      </c>
      <c r="F200" s="400" t="n">
        <v>0.0018</v>
      </c>
    </row>
    <row r="201" s="268" customFormat="true" ht="12.75" hidden="false" customHeight="true" outlineLevel="0" collapsed="false">
      <c r="C201" s="392"/>
      <c r="D201" s="396" t="n">
        <v>2018</v>
      </c>
      <c r="E201" s="399" t="n">
        <v>0.0081</v>
      </c>
      <c r="F201" s="400" t="n">
        <v>0.0015</v>
      </c>
    </row>
    <row r="202" s="268" customFormat="true" ht="12.75" hidden="false" customHeight="true" outlineLevel="0" collapsed="false">
      <c r="C202" s="392"/>
      <c r="D202" s="396" t="n">
        <v>2019</v>
      </c>
      <c r="E202" s="399" t="n">
        <v>0.008</v>
      </c>
      <c r="F202" s="400" t="n">
        <v>0.0013</v>
      </c>
    </row>
    <row r="203" s="268" customFormat="true" ht="12.75" hidden="false" customHeight="true" outlineLevel="0" collapsed="false">
      <c r="C203" s="392"/>
      <c r="D203" s="396" t="n">
        <v>2020</v>
      </c>
      <c r="E203" s="399" t="n">
        <v>0.0079</v>
      </c>
      <c r="F203" s="400" t="n">
        <v>0.0012</v>
      </c>
    </row>
    <row r="204" s="268" customFormat="true" ht="12.75" hidden="false" customHeight="true" outlineLevel="0" collapsed="false">
      <c r="C204" s="392"/>
      <c r="D204" s="396" t="n">
        <v>2021</v>
      </c>
      <c r="E204" s="399" t="n">
        <v>0.0079</v>
      </c>
      <c r="F204" s="400" t="n">
        <v>0.0012</v>
      </c>
    </row>
    <row r="205" s="268" customFormat="true" ht="13.5" hidden="false" customHeight="true" outlineLevel="0" collapsed="false">
      <c r="C205" s="401"/>
      <c r="D205" s="396" t="n">
        <v>2022</v>
      </c>
      <c r="E205" s="402" t="n">
        <v>0.0079</v>
      </c>
      <c r="F205" s="403" t="n">
        <v>0.0012</v>
      </c>
    </row>
    <row r="206" s="268" customFormat="true" ht="12.75" hidden="false" customHeight="true" outlineLevel="0" collapsed="false">
      <c r="C206" s="388" t="s">
        <v>777</v>
      </c>
      <c r="D206" s="389" t="s">
        <v>778</v>
      </c>
      <c r="E206" s="390" t="n">
        <v>0.4604</v>
      </c>
      <c r="F206" s="391" t="n">
        <v>0.0497</v>
      </c>
    </row>
    <row r="207" s="268" customFormat="true" ht="12.75" hidden="false" customHeight="true" outlineLevel="0" collapsed="false">
      <c r="C207" s="392"/>
      <c r="D207" s="396" t="s">
        <v>779</v>
      </c>
      <c r="E207" s="397" t="n">
        <v>0.4492</v>
      </c>
      <c r="F207" s="398" t="n">
        <v>0.0538</v>
      </c>
    </row>
    <row r="208" s="268" customFormat="true" ht="12.75" hidden="false" customHeight="true" outlineLevel="0" collapsed="false">
      <c r="C208" s="392"/>
      <c r="D208" s="396" t="s">
        <v>780</v>
      </c>
      <c r="E208" s="397" t="n">
        <v>0.409</v>
      </c>
      <c r="F208" s="398" t="n">
        <v>0.0515</v>
      </c>
    </row>
    <row r="209" s="268" customFormat="true" ht="12.75" hidden="false" customHeight="true" outlineLevel="0" collapsed="false">
      <c r="C209" s="392"/>
      <c r="D209" s="396" t="n">
        <v>1987</v>
      </c>
      <c r="E209" s="397" t="n">
        <v>0.3675</v>
      </c>
      <c r="F209" s="398" t="n">
        <v>0.0849</v>
      </c>
    </row>
    <row r="210" s="268" customFormat="true" ht="12.75" hidden="false" customHeight="true" outlineLevel="0" collapsed="false">
      <c r="C210" s="392"/>
      <c r="D210" s="396" t="s">
        <v>781</v>
      </c>
      <c r="E210" s="397" t="n">
        <v>0.3492</v>
      </c>
      <c r="F210" s="398" t="n">
        <v>0.0933</v>
      </c>
    </row>
    <row r="211" s="268" customFormat="true" ht="12.75" hidden="false" customHeight="true" outlineLevel="0" collapsed="false">
      <c r="C211" s="392"/>
      <c r="D211" s="396" t="s">
        <v>782</v>
      </c>
      <c r="E211" s="397" t="n">
        <v>0.3246</v>
      </c>
      <c r="F211" s="398" t="n">
        <v>0.1142</v>
      </c>
    </row>
    <row r="212" s="268" customFormat="true" ht="12.75" hidden="false" customHeight="true" outlineLevel="0" collapsed="false">
      <c r="C212" s="392"/>
      <c r="D212" s="396" t="n">
        <v>1996</v>
      </c>
      <c r="E212" s="397" t="n">
        <v>0.1278</v>
      </c>
      <c r="F212" s="398" t="n">
        <v>0.168</v>
      </c>
    </row>
    <row r="213" s="268" customFormat="true" ht="12.75" hidden="false" customHeight="true" outlineLevel="0" collapsed="false">
      <c r="C213" s="392"/>
      <c r="D213" s="396" t="n">
        <v>1997</v>
      </c>
      <c r="E213" s="397" t="n">
        <v>0.0924</v>
      </c>
      <c r="F213" s="398" t="n">
        <v>0.1726</v>
      </c>
    </row>
    <row r="214" s="268" customFormat="true" ht="12.75" hidden="false" customHeight="true" outlineLevel="0" collapsed="false">
      <c r="C214" s="392"/>
      <c r="D214" s="396" t="n">
        <v>1998</v>
      </c>
      <c r="E214" s="397" t="n">
        <v>0.0655</v>
      </c>
      <c r="F214" s="398" t="n">
        <v>0.175</v>
      </c>
    </row>
    <row r="215" s="268" customFormat="true" ht="12.75" hidden="false" customHeight="true" outlineLevel="0" collapsed="false">
      <c r="C215" s="392"/>
      <c r="D215" s="396" t="n">
        <v>1999</v>
      </c>
      <c r="E215" s="397" t="n">
        <v>0.0648</v>
      </c>
      <c r="F215" s="398" t="n">
        <v>0.1724</v>
      </c>
    </row>
    <row r="216" s="268" customFormat="true" ht="12.75" hidden="false" customHeight="true" outlineLevel="0" collapsed="false">
      <c r="C216" s="392"/>
      <c r="D216" s="396" t="n">
        <v>2000</v>
      </c>
      <c r="E216" s="397" t="n">
        <v>0.063</v>
      </c>
      <c r="F216" s="398" t="n">
        <v>0.166</v>
      </c>
    </row>
    <row r="217" s="268" customFormat="true" ht="12.75" hidden="false" customHeight="true" outlineLevel="0" collapsed="false">
      <c r="C217" s="392"/>
      <c r="D217" s="396" t="n">
        <v>2001</v>
      </c>
      <c r="E217" s="397" t="n">
        <v>0.0577</v>
      </c>
      <c r="F217" s="398" t="n">
        <v>0.1468</v>
      </c>
    </row>
    <row r="218" s="268" customFormat="true" ht="12.75" hidden="false" customHeight="true" outlineLevel="0" collapsed="false">
      <c r="C218" s="392"/>
      <c r="D218" s="396" t="n">
        <v>2002</v>
      </c>
      <c r="E218" s="397" t="n">
        <v>0.0634</v>
      </c>
      <c r="F218" s="398" t="n">
        <v>0.1673</v>
      </c>
    </row>
    <row r="219" s="268" customFormat="true" ht="12.75" hidden="false" customHeight="true" outlineLevel="0" collapsed="false">
      <c r="C219" s="392"/>
      <c r="D219" s="396" t="n">
        <v>2003</v>
      </c>
      <c r="E219" s="397" t="n">
        <v>0.0602</v>
      </c>
      <c r="F219" s="398" t="n">
        <v>0.1553</v>
      </c>
    </row>
    <row r="220" s="268" customFormat="true" ht="12.75" hidden="false" customHeight="true" outlineLevel="0" collapsed="false">
      <c r="C220" s="392"/>
      <c r="D220" s="396" t="n">
        <v>2004</v>
      </c>
      <c r="E220" s="397" t="n">
        <v>0.0298</v>
      </c>
      <c r="F220" s="398" t="n">
        <v>0.0164</v>
      </c>
    </row>
    <row r="221" s="268" customFormat="true" ht="12.75" hidden="false" customHeight="true" outlineLevel="0" collapsed="false">
      <c r="C221" s="392"/>
      <c r="D221" s="396" t="n">
        <v>2005</v>
      </c>
      <c r="E221" s="397" t="n">
        <v>0.0297</v>
      </c>
      <c r="F221" s="398" t="n">
        <v>0.0083</v>
      </c>
    </row>
    <row r="222" s="268" customFormat="true" ht="12.75" hidden="false" customHeight="true" outlineLevel="0" collapsed="false">
      <c r="C222" s="392"/>
      <c r="D222" s="396" t="n">
        <v>2006</v>
      </c>
      <c r="E222" s="397" t="n">
        <v>0.0299</v>
      </c>
      <c r="F222" s="398" t="n">
        <v>0.0241</v>
      </c>
    </row>
    <row r="223" s="268" customFormat="true" ht="12.75" hidden="false" customHeight="true" outlineLevel="0" collapsed="false">
      <c r="C223" s="392"/>
      <c r="D223" s="396" t="n">
        <v>2007</v>
      </c>
      <c r="E223" s="397" t="n">
        <v>0.0322</v>
      </c>
      <c r="F223" s="398" t="n">
        <v>0.0015</v>
      </c>
    </row>
    <row r="224" s="268" customFormat="true" ht="12.75" hidden="false" customHeight="true" outlineLevel="0" collapsed="false">
      <c r="C224" s="392"/>
      <c r="D224" s="396" t="n">
        <v>2008</v>
      </c>
      <c r="E224" s="399" t="n">
        <v>0.034</v>
      </c>
      <c r="F224" s="400" t="n">
        <v>0.0015</v>
      </c>
    </row>
    <row r="225" s="268" customFormat="true" ht="12.75" hidden="false" customHeight="true" outlineLevel="0" collapsed="false">
      <c r="C225" s="392"/>
      <c r="D225" s="396" t="n">
        <v>2009</v>
      </c>
      <c r="E225" s="399" t="n">
        <v>0.0339</v>
      </c>
      <c r="F225" s="400" t="n">
        <v>0.0015</v>
      </c>
    </row>
    <row r="226" s="268" customFormat="true" ht="12.75" hidden="false" customHeight="true" outlineLevel="0" collapsed="false">
      <c r="C226" s="392"/>
      <c r="D226" s="396" t="n">
        <v>2010</v>
      </c>
      <c r="E226" s="399" t="n">
        <v>0.032</v>
      </c>
      <c r="F226" s="400" t="n">
        <v>0.0015</v>
      </c>
    </row>
    <row r="227" s="268" customFormat="true" ht="12.75" hidden="false" customHeight="true" outlineLevel="0" collapsed="false">
      <c r="C227" s="392"/>
      <c r="D227" s="396" t="n">
        <v>2011</v>
      </c>
      <c r="E227" s="399" t="n">
        <v>0.0304</v>
      </c>
      <c r="F227" s="400" t="n">
        <v>0.0015</v>
      </c>
    </row>
    <row r="228" s="268" customFormat="true" ht="12.75" hidden="false" customHeight="true" outlineLevel="0" collapsed="false">
      <c r="C228" s="392"/>
      <c r="D228" s="396" t="n">
        <v>2012</v>
      </c>
      <c r="E228" s="399" t="n">
        <v>0.0313</v>
      </c>
      <c r="F228" s="400" t="n">
        <v>0.0015</v>
      </c>
    </row>
    <row r="229" s="268" customFormat="true" ht="12.75" hidden="false" customHeight="true" outlineLevel="0" collapsed="false">
      <c r="C229" s="392"/>
      <c r="D229" s="396" t="n">
        <v>2013</v>
      </c>
      <c r="E229" s="399" t="n">
        <v>0.0313</v>
      </c>
      <c r="F229" s="400" t="n">
        <v>0.0015</v>
      </c>
    </row>
    <row r="230" s="268" customFormat="true" ht="12.75" hidden="false" customHeight="true" outlineLevel="0" collapsed="false">
      <c r="C230" s="392"/>
      <c r="D230" s="396" t="n">
        <v>2014</v>
      </c>
      <c r="E230" s="399" t="n">
        <v>0.0315</v>
      </c>
      <c r="F230" s="400" t="n">
        <v>0.0015</v>
      </c>
    </row>
    <row r="231" s="268" customFormat="true" ht="12.75" hidden="false" customHeight="true" outlineLevel="0" collapsed="false">
      <c r="C231" s="392"/>
      <c r="D231" s="396" t="n">
        <v>2015</v>
      </c>
      <c r="E231" s="399" t="n">
        <v>0.0332</v>
      </c>
      <c r="F231" s="400" t="n">
        <v>0.0021</v>
      </c>
    </row>
    <row r="232" s="268" customFormat="true" ht="12.75" hidden="false" customHeight="true" outlineLevel="0" collapsed="false">
      <c r="C232" s="392"/>
      <c r="D232" s="396" t="n">
        <v>2016</v>
      </c>
      <c r="E232" s="399" t="n">
        <v>0.0321</v>
      </c>
      <c r="F232" s="400" t="n">
        <v>0.0061</v>
      </c>
    </row>
    <row r="233" s="268" customFormat="true" ht="12.75" hidden="false" customHeight="true" outlineLevel="0" collapsed="false">
      <c r="C233" s="392"/>
      <c r="D233" s="396" t="n">
        <v>2017</v>
      </c>
      <c r="E233" s="399" t="n">
        <v>0.0329</v>
      </c>
      <c r="F233" s="400" t="n">
        <v>0.0084</v>
      </c>
    </row>
    <row r="234" s="268" customFormat="true" ht="12.75" hidden="false" customHeight="true" outlineLevel="0" collapsed="false">
      <c r="C234" s="392"/>
      <c r="D234" s="396" t="n">
        <v>2018</v>
      </c>
      <c r="E234" s="399" t="n">
        <v>0.0326</v>
      </c>
      <c r="F234" s="400" t="n">
        <v>0.0082</v>
      </c>
    </row>
    <row r="235" s="268" customFormat="true" ht="12.75" hidden="false" customHeight="true" outlineLevel="0" collapsed="false">
      <c r="C235" s="392"/>
      <c r="D235" s="396" t="n">
        <v>2019</v>
      </c>
      <c r="E235" s="399" t="n">
        <v>0.033</v>
      </c>
      <c r="F235" s="400" t="n">
        <v>0.0091</v>
      </c>
    </row>
    <row r="236" s="268" customFormat="true" ht="12.75" hidden="false" customHeight="true" outlineLevel="0" collapsed="false">
      <c r="C236" s="392"/>
      <c r="D236" s="396" t="n">
        <v>2020</v>
      </c>
      <c r="E236" s="399" t="n">
        <v>0.0332</v>
      </c>
      <c r="F236" s="400" t="n">
        <v>0.01</v>
      </c>
    </row>
    <row r="237" s="268" customFormat="true" ht="12.75" hidden="false" customHeight="true" outlineLevel="0" collapsed="false">
      <c r="C237" s="392"/>
      <c r="D237" s="396" t="n">
        <v>2021</v>
      </c>
      <c r="E237" s="399" t="n">
        <v>0.0332</v>
      </c>
      <c r="F237" s="400" t="n">
        <v>0.01</v>
      </c>
    </row>
    <row r="238" s="268" customFormat="true" ht="13.5" hidden="false" customHeight="true" outlineLevel="0" collapsed="false">
      <c r="C238" s="401"/>
      <c r="D238" s="396" t="n">
        <v>2022</v>
      </c>
      <c r="E238" s="402" t="n">
        <v>0.0332</v>
      </c>
      <c r="F238" s="403" t="n">
        <v>0.01</v>
      </c>
    </row>
    <row r="239" s="268" customFormat="true" ht="12.75" hidden="false" customHeight="true" outlineLevel="0" collapsed="false">
      <c r="C239" s="404" t="s">
        <v>783</v>
      </c>
      <c r="D239" s="389" t="s">
        <v>784</v>
      </c>
      <c r="E239" s="405" t="n">
        <v>0.009</v>
      </c>
      <c r="F239" s="406" t="n">
        <v>0.09</v>
      </c>
    </row>
    <row r="240" s="268" customFormat="true" ht="12.75" hidden="false" customHeight="true" outlineLevel="0" collapsed="false">
      <c r="C240" s="404"/>
      <c r="D240" s="393" t="s">
        <v>785</v>
      </c>
      <c r="E240" s="407" t="n">
        <v>0.007</v>
      </c>
      <c r="F240" s="408" t="n">
        <v>0.067</v>
      </c>
    </row>
    <row r="241" s="268" customFormat="true" ht="13.5" hidden="false" customHeight="true" outlineLevel="0" collapsed="false">
      <c r="C241" s="404"/>
      <c r="D241" s="409" t="s">
        <v>786</v>
      </c>
      <c r="E241" s="410" t="n">
        <v>0.018</v>
      </c>
      <c r="F241" s="411" t="n">
        <v>0.066</v>
      </c>
    </row>
    <row r="242" customFormat="false" ht="12.75" hidden="false" customHeight="true" outlineLevel="0" collapsed="false">
      <c r="C242" s="357" t="s">
        <v>787</v>
      </c>
      <c r="I242" s="271"/>
    </row>
    <row r="243" customFormat="false" ht="12.75" hidden="false" customHeight="true" outlineLevel="0" collapsed="false">
      <c r="C243" s="412" t="s">
        <v>788</v>
      </c>
      <c r="I243" s="271"/>
    </row>
    <row r="244" customFormat="false" ht="25.5" hidden="false" customHeight="true" outlineLevel="0" collapsed="false">
      <c r="C244" s="286" t="s">
        <v>789</v>
      </c>
      <c r="D244" s="286"/>
      <c r="E244" s="286"/>
      <c r="F244" s="286"/>
      <c r="G244" s="286"/>
      <c r="H244" s="286"/>
      <c r="I244" s="286"/>
      <c r="J244" s="286"/>
      <c r="K244" s="286"/>
      <c r="L244" s="286"/>
    </row>
    <row r="246" customFormat="false" ht="18" hidden="false" customHeight="true" outlineLevel="0" collapsed="false">
      <c r="B246" s="383" t="s">
        <v>790</v>
      </c>
      <c r="C246" s="384" t="s">
        <v>791</v>
      </c>
      <c r="D246" s="385"/>
      <c r="E246" s="385"/>
      <c r="F246" s="385"/>
      <c r="G246" s="385"/>
      <c r="H246" s="385"/>
      <c r="I246" s="385"/>
      <c r="J246" s="385"/>
      <c r="K246" s="385"/>
      <c r="L246" s="386"/>
    </row>
    <row r="247" s="268" customFormat="true" ht="13.5" hidden="false" customHeight="true" outlineLevel="0" collapsed="false"/>
    <row r="248" s="268" customFormat="true" ht="31.5" hidden="false" customHeight="true" outlineLevel="0" collapsed="false">
      <c r="C248" s="413" t="s">
        <v>763</v>
      </c>
      <c r="D248" s="367" t="s">
        <v>63</v>
      </c>
      <c r="E248" s="367" t="s">
        <v>764</v>
      </c>
      <c r="F248" s="367" t="s">
        <v>765</v>
      </c>
      <c r="G248" s="368" t="s">
        <v>766</v>
      </c>
      <c r="H248" s="414"/>
    </row>
    <row r="249" s="268" customFormat="true" ht="12.75" hidden="false" customHeight="true" outlineLevel="0" collapsed="false">
      <c r="C249" s="415" t="s">
        <v>792</v>
      </c>
      <c r="D249" s="416" t="s">
        <v>793</v>
      </c>
      <c r="E249" s="389" t="s">
        <v>794</v>
      </c>
      <c r="F249" s="397" t="n">
        <v>0.0006</v>
      </c>
      <c r="G249" s="398" t="n">
        <v>0.0012</v>
      </c>
      <c r="H249" s="414"/>
      <c r="I249" s="414"/>
    </row>
    <row r="250" s="268" customFormat="true" ht="12.75" hidden="false" customHeight="true" outlineLevel="0" collapsed="false">
      <c r="C250" s="415"/>
      <c r="D250" s="416"/>
      <c r="E250" s="396" t="s">
        <v>795</v>
      </c>
      <c r="F250" s="397" t="n">
        <v>0.0005</v>
      </c>
      <c r="G250" s="398" t="n">
        <v>0.001</v>
      </c>
      <c r="H250" s="414"/>
      <c r="I250" s="414"/>
    </row>
    <row r="251" s="268" customFormat="true" ht="12.75" hidden="false" customHeight="true" outlineLevel="0" collapsed="false">
      <c r="C251" s="415"/>
      <c r="D251" s="416"/>
      <c r="E251" s="417" t="s">
        <v>796</v>
      </c>
      <c r="F251" s="397" t="n">
        <v>0.0302</v>
      </c>
      <c r="G251" s="398" t="n">
        <v>0.0192</v>
      </c>
      <c r="H251" s="414"/>
      <c r="I251" s="414"/>
    </row>
    <row r="252" customFormat="false" ht="12.75" hidden="false" customHeight="true" outlineLevel="0" collapsed="false">
      <c r="B252" s="324"/>
      <c r="C252" s="418" t="s">
        <v>797</v>
      </c>
      <c r="D252" s="419" t="s">
        <v>793</v>
      </c>
      <c r="E252" s="396" t="s">
        <v>794</v>
      </c>
      <c r="F252" s="420" t="n">
        <v>0.0011</v>
      </c>
      <c r="G252" s="421" t="n">
        <v>0.0017</v>
      </c>
      <c r="H252" s="414"/>
      <c r="I252" s="414"/>
    </row>
    <row r="253" customFormat="false" ht="12.75" hidden="false" customHeight="true" outlineLevel="0" collapsed="false">
      <c r="B253" s="324"/>
      <c r="C253" s="418"/>
      <c r="D253" s="419"/>
      <c r="E253" s="396" t="s">
        <v>795</v>
      </c>
      <c r="F253" s="420" t="n">
        <v>0.0009</v>
      </c>
      <c r="G253" s="421" t="n">
        <v>0.0014</v>
      </c>
      <c r="H253" s="414"/>
      <c r="I253" s="414"/>
    </row>
    <row r="254" customFormat="false" ht="12.75" hidden="false" customHeight="true" outlineLevel="0" collapsed="false">
      <c r="B254" s="324"/>
      <c r="C254" s="418"/>
      <c r="D254" s="419"/>
      <c r="E254" s="417" t="s">
        <v>796</v>
      </c>
      <c r="F254" s="420" t="n">
        <v>0.029</v>
      </c>
      <c r="G254" s="421" t="n">
        <v>0.0214</v>
      </c>
      <c r="H254" s="414"/>
      <c r="I254" s="414"/>
    </row>
    <row r="255" s="268" customFormat="true" ht="12.75" hidden="false" customHeight="true" outlineLevel="0" collapsed="false">
      <c r="C255" s="418" t="s">
        <v>798</v>
      </c>
      <c r="D255" s="419" t="s">
        <v>793</v>
      </c>
      <c r="E255" s="396" t="s">
        <v>799</v>
      </c>
      <c r="F255" s="397" t="n">
        <v>0.0051</v>
      </c>
      <c r="G255" s="398" t="n">
        <v>0.0048</v>
      </c>
      <c r="H255" s="414"/>
      <c r="I255" s="414"/>
    </row>
    <row r="256" s="268" customFormat="true" ht="12.75" hidden="false" customHeight="true" outlineLevel="0" collapsed="false">
      <c r="C256" s="418"/>
      <c r="D256" s="419"/>
      <c r="E256" s="417" t="s">
        <v>796</v>
      </c>
      <c r="F256" s="397" t="n">
        <v>0.0095</v>
      </c>
      <c r="G256" s="398" t="n">
        <v>0.0431</v>
      </c>
      <c r="H256" s="414"/>
      <c r="I256" s="414"/>
    </row>
    <row r="257" s="268" customFormat="true" ht="12.75" hidden="false" customHeight="true" outlineLevel="0" collapsed="false">
      <c r="C257" s="422" t="s">
        <v>800</v>
      </c>
      <c r="D257" s="386" t="s">
        <v>801</v>
      </c>
      <c r="E257" s="423"/>
      <c r="F257" s="407" t="n">
        <v>0.012</v>
      </c>
      <c r="G257" s="398" t="n">
        <v>0.004</v>
      </c>
      <c r="H257" s="414"/>
      <c r="I257" s="414"/>
    </row>
    <row r="258" s="268" customFormat="true" ht="12.75" hidden="false" customHeight="true" outlineLevel="0" collapsed="false">
      <c r="C258" s="422"/>
      <c r="D258" s="386" t="s">
        <v>802</v>
      </c>
      <c r="E258" s="424"/>
      <c r="F258" s="407" t="n">
        <v>0.012</v>
      </c>
      <c r="G258" s="398" t="n">
        <v>0.004</v>
      </c>
      <c r="H258" s="414"/>
      <c r="I258" s="414"/>
    </row>
    <row r="259" s="268" customFormat="true" ht="12.75" hidden="false" customHeight="true" outlineLevel="0" collapsed="false">
      <c r="C259" s="422"/>
      <c r="D259" s="386" t="s">
        <v>803</v>
      </c>
      <c r="E259" s="424"/>
      <c r="F259" s="407" t="n">
        <v>0.12</v>
      </c>
      <c r="G259" s="398" t="n">
        <v>0.004</v>
      </c>
      <c r="H259" s="414"/>
      <c r="I259" s="414"/>
    </row>
    <row r="260" s="268" customFormat="true" ht="12.75" hidden="false" customHeight="true" outlineLevel="0" collapsed="false">
      <c r="C260" s="422"/>
      <c r="D260" s="386" t="s">
        <v>78</v>
      </c>
      <c r="E260" s="424"/>
      <c r="F260" s="407" t="n">
        <v>0.012</v>
      </c>
      <c r="G260" s="398" t="n">
        <v>0.004</v>
      </c>
      <c r="H260" s="414"/>
      <c r="I260" s="414"/>
    </row>
    <row r="261" s="268" customFormat="true" ht="12.75" hidden="false" customHeight="true" outlineLevel="0" collapsed="false">
      <c r="C261" s="422"/>
      <c r="D261" s="386" t="s">
        <v>804</v>
      </c>
      <c r="E261" s="424"/>
      <c r="F261" s="407" t="n">
        <v>0.03</v>
      </c>
      <c r="G261" s="398" t="n">
        <v>0.001</v>
      </c>
      <c r="H261" s="414"/>
      <c r="I261" s="414"/>
    </row>
    <row r="262" s="268" customFormat="true" ht="12.75" hidden="false" customHeight="true" outlineLevel="0" collapsed="false">
      <c r="C262" s="422" t="s">
        <v>797</v>
      </c>
      <c r="D262" s="386" t="s">
        <v>802</v>
      </c>
      <c r="E262" s="424"/>
      <c r="F262" s="407" t="n">
        <v>0.013</v>
      </c>
      <c r="G262" s="398" t="n">
        <v>0.005</v>
      </c>
      <c r="H262" s="414"/>
      <c r="I262" s="414"/>
    </row>
    <row r="263" s="268" customFormat="true" ht="12.75" hidden="false" customHeight="true" outlineLevel="0" collapsed="false">
      <c r="C263" s="422"/>
      <c r="D263" s="386" t="s">
        <v>803</v>
      </c>
      <c r="E263" s="424"/>
      <c r="F263" s="407" t="n">
        <v>0.13</v>
      </c>
      <c r="G263" s="398" t="n">
        <v>0.005</v>
      </c>
      <c r="H263" s="414"/>
      <c r="I263" s="414"/>
    </row>
    <row r="264" s="268" customFormat="true" ht="12.75" hidden="false" customHeight="true" outlineLevel="0" collapsed="false">
      <c r="C264" s="422"/>
      <c r="D264" s="386" t="s">
        <v>78</v>
      </c>
      <c r="E264" s="424"/>
      <c r="F264" s="407" t="n">
        <v>0.013</v>
      </c>
      <c r="G264" s="398" t="n">
        <v>0.005</v>
      </c>
      <c r="H264" s="414"/>
      <c r="I264" s="414"/>
    </row>
    <row r="265" s="268" customFormat="true" ht="12.75" hidden="false" customHeight="true" outlineLevel="0" collapsed="false">
      <c r="C265" s="422"/>
      <c r="D265" s="386" t="s">
        <v>805</v>
      </c>
      <c r="E265" s="424"/>
      <c r="F265" s="407" t="n">
        <v>0.13</v>
      </c>
      <c r="G265" s="398" t="n">
        <v>0.005</v>
      </c>
      <c r="H265" s="414"/>
      <c r="I265" s="414"/>
    </row>
    <row r="266" s="268" customFormat="true" ht="12.75" hidden="false" customHeight="true" outlineLevel="0" collapsed="false">
      <c r="C266" s="422"/>
      <c r="D266" s="386" t="s">
        <v>804</v>
      </c>
      <c r="E266" s="424"/>
      <c r="F266" s="407" t="n">
        <v>0.054</v>
      </c>
      <c r="G266" s="398" t="n">
        <v>0.001</v>
      </c>
      <c r="H266" s="414"/>
      <c r="I266" s="414"/>
    </row>
    <row r="267" s="268" customFormat="true" ht="12.75" hidden="false" customHeight="true" outlineLevel="0" collapsed="false">
      <c r="C267" s="422" t="s">
        <v>806</v>
      </c>
      <c r="D267" s="386" t="s">
        <v>803</v>
      </c>
      <c r="E267" s="424"/>
      <c r="F267" s="407" t="n">
        <v>1.786</v>
      </c>
      <c r="G267" s="408" t="n">
        <v>0.033</v>
      </c>
      <c r="H267" s="414"/>
      <c r="I267" s="414"/>
    </row>
    <row r="268" s="268" customFormat="true" ht="12.75" hidden="false" customHeight="true" outlineLevel="0" collapsed="false">
      <c r="C268" s="422"/>
      <c r="D268" s="386" t="s">
        <v>78</v>
      </c>
      <c r="E268" s="424"/>
      <c r="F268" s="407" t="n">
        <v>0.179</v>
      </c>
      <c r="G268" s="408" t="n">
        <v>0.033</v>
      </c>
      <c r="H268" s="414"/>
      <c r="I268" s="414"/>
    </row>
    <row r="269" s="268" customFormat="true" ht="12.75" hidden="false" customHeight="true" outlineLevel="0" collapsed="false">
      <c r="C269" s="422"/>
      <c r="D269" s="386" t="s">
        <v>805</v>
      </c>
      <c r="E269" s="424"/>
      <c r="F269" s="407" t="n">
        <v>1.786</v>
      </c>
      <c r="G269" s="408" t="n">
        <v>0.033</v>
      </c>
      <c r="H269" s="414"/>
      <c r="I269" s="414"/>
    </row>
    <row r="270" s="268" customFormat="true" ht="12.75" hidden="false" customHeight="true" outlineLevel="0" collapsed="false">
      <c r="C270" s="422"/>
      <c r="D270" s="386" t="s">
        <v>804</v>
      </c>
      <c r="E270" s="424"/>
      <c r="F270" s="407" t="n">
        <v>0.009</v>
      </c>
      <c r="G270" s="398" t="n">
        <v>0.005</v>
      </c>
      <c r="H270" s="414"/>
      <c r="I270" s="414"/>
    </row>
    <row r="271" s="268" customFormat="true" ht="12.75" hidden="false" customHeight="true" outlineLevel="0" collapsed="false">
      <c r="C271" s="422" t="s">
        <v>807</v>
      </c>
      <c r="D271" s="386" t="s">
        <v>801</v>
      </c>
      <c r="E271" s="424"/>
      <c r="F271" s="407" t="n">
        <v>0.072</v>
      </c>
      <c r="G271" s="408" t="n">
        <v>0.026</v>
      </c>
      <c r="H271" s="414"/>
      <c r="I271" s="414"/>
    </row>
    <row r="272" s="268" customFormat="true" ht="12.75" hidden="false" customHeight="true" outlineLevel="0" collapsed="false">
      <c r="C272" s="422"/>
      <c r="D272" s="386" t="s">
        <v>802</v>
      </c>
      <c r="E272" s="424"/>
      <c r="F272" s="407" t="n">
        <v>0.072</v>
      </c>
      <c r="G272" s="408" t="n">
        <v>0.026</v>
      </c>
      <c r="H272" s="414"/>
      <c r="I272" s="414"/>
    </row>
    <row r="273" s="268" customFormat="true" ht="12.75" hidden="false" customHeight="true" outlineLevel="0" collapsed="false">
      <c r="C273" s="422"/>
      <c r="D273" s="386" t="s">
        <v>803</v>
      </c>
      <c r="E273" s="424"/>
      <c r="F273" s="397" t="n">
        <v>0.921</v>
      </c>
      <c r="G273" s="398" t="n">
        <v>0.017</v>
      </c>
      <c r="H273" s="414"/>
      <c r="I273" s="414"/>
    </row>
    <row r="274" s="268" customFormat="true" ht="12.75" hidden="false" customHeight="true" outlineLevel="0" collapsed="false">
      <c r="C274" s="422"/>
      <c r="D274" s="386" t="s">
        <v>78</v>
      </c>
      <c r="E274" s="424"/>
      <c r="F274" s="397" t="n">
        <v>0.092</v>
      </c>
      <c r="G274" s="398" t="n">
        <v>0.017</v>
      </c>
      <c r="H274" s="414"/>
      <c r="I274" s="414"/>
    </row>
    <row r="275" customFormat="false" ht="14.25" hidden="false" customHeight="true" outlineLevel="0" collapsed="false">
      <c r="C275" s="422"/>
      <c r="D275" s="386" t="s">
        <v>805</v>
      </c>
      <c r="E275" s="424"/>
      <c r="F275" s="397" t="n">
        <v>0.921</v>
      </c>
      <c r="G275" s="398" t="n">
        <v>0.017</v>
      </c>
      <c r="H275" s="414"/>
      <c r="I275" s="414"/>
    </row>
    <row r="276" customFormat="false" ht="14.25" hidden="false" customHeight="true" outlineLevel="0" collapsed="false">
      <c r="C276" s="422"/>
      <c r="D276" s="386" t="s">
        <v>804</v>
      </c>
      <c r="E276" s="424"/>
      <c r="F276" s="407" t="n">
        <v>0.009</v>
      </c>
      <c r="G276" s="398" t="n">
        <v>0.002</v>
      </c>
      <c r="H276" s="414"/>
      <c r="I276" s="414"/>
    </row>
    <row r="277" customFormat="false" ht="14.25" hidden="false" customHeight="true" outlineLevel="0" collapsed="false">
      <c r="C277" s="425" t="s">
        <v>808</v>
      </c>
      <c r="D277" s="386" t="s">
        <v>801</v>
      </c>
      <c r="E277" s="424"/>
      <c r="F277" s="407" t="n">
        <v>0.19</v>
      </c>
      <c r="G277" s="398" t="n">
        <v>0.029</v>
      </c>
      <c r="H277" s="414"/>
      <c r="I277" s="414"/>
    </row>
    <row r="278" customFormat="false" ht="14.25" hidden="false" customHeight="true" outlineLevel="0" collapsed="false">
      <c r="C278" s="425"/>
      <c r="D278" s="426" t="s">
        <v>802</v>
      </c>
      <c r="E278" s="424"/>
      <c r="F278" s="407" t="n">
        <v>0.19</v>
      </c>
      <c r="G278" s="398" t="n">
        <v>0.029</v>
      </c>
      <c r="H278" s="414"/>
      <c r="I278" s="414"/>
    </row>
    <row r="279" customFormat="false" ht="14.25" hidden="false" customHeight="true" outlineLevel="0" collapsed="false">
      <c r="C279" s="425"/>
      <c r="D279" s="426" t="s">
        <v>803</v>
      </c>
      <c r="E279" s="424"/>
      <c r="F279" s="407" t="n">
        <v>2.719</v>
      </c>
      <c r="G279" s="398" t="n">
        <v>0.017</v>
      </c>
      <c r="H279" s="414"/>
      <c r="I279" s="414"/>
    </row>
    <row r="280" customFormat="false" ht="14.25" hidden="false" customHeight="true" outlineLevel="0" collapsed="false">
      <c r="C280" s="425"/>
      <c r="D280" s="426" t="s">
        <v>78</v>
      </c>
      <c r="E280" s="424"/>
      <c r="F280" s="407" t="n">
        <v>0.272</v>
      </c>
      <c r="G280" s="398" t="n">
        <v>0.017</v>
      </c>
      <c r="H280" s="414"/>
      <c r="I280" s="414"/>
    </row>
    <row r="281" customFormat="false" ht="14.25" hidden="false" customHeight="true" outlineLevel="0" collapsed="false">
      <c r="C281" s="425"/>
      <c r="D281" s="426" t="s">
        <v>805</v>
      </c>
      <c r="E281" s="424"/>
      <c r="F281" s="407" t="n">
        <v>2.719</v>
      </c>
      <c r="G281" s="398" t="n">
        <v>0.017</v>
      </c>
      <c r="H281" s="414"/>
      <c r="I281" s="414"/>
    </row>
    <row r="282" customFormat="false" ht="15" hidden="false" customHeight="true" outlineLevel="0" collapsed="false">
      <c r="C282" s="425"/>
      <c r="D282" s="427" t="s">
        <v>804</v>
      </c>
      <c r="E282" s="427"/>
      <c r="F282" s="410" t="n">
        <v>0.009</v>
      </c>
      <c r="G282" s="403" t="n">
        <v>0.003</v>
      </c>
      <c r="H282" s="414"/>
      <c r="I282" s="414"/>
    </row>
    <row r="283" customFormat="false" ht="14.25" hidden="false" customHeight="true" outlineLevel="0" collapsed="false">
      <c r="C283" s="293" t="s">
        <v>809</v>
      </c>
      <c r="I283" s="271"/>
    </row>
    <row r="284" s="268" customFormat="true" ht="12.75" hidden="false" customHeight="true" outlineLevel="0" collapsed="false">
      <c r="C284" s="412" t="s">
        <v>788</v>
      </c>
      <c r="D284" s="382"/>
      <c r="E284" s="382"/>
      <c r="F284" s="382"/>
      <c r="G284" s="428"/>
      <c r="H284" s="382"/>
    </row>
    <row r="285" customFormat="false" ht="25.5" hidden="false" customHeight="true" outlineLevel="0" collapsed="false">
      <c r="C285" s="286" t="s">
        <v>789</v>
      </c>
      <c r="D285" s="286"/>
      <c r="E285" s="286"/>
      <c r="F285" s="286"/>
      <c r="G285" s="286"/>
      <c r="H285" s="286"/>
      <c r="I285" s="286"/>
      <c r="J285" s="286"/>
      <c r="K285" s="286"/>
      <c r="L285" s="286"/>
    </row>
    <row r="286" s="268" customFormat="true" ht="14.25" hidden="false" customHeight="true" outlineLevel="0" collapsed="false">
      <c r="C286" s="429"/>
      <c r="D286" s="382"/>
      <c r="E286" s="382"/>
      <c r="F286" s="382"/>
      <c r="G286" s="428"/>
      <c r="H286" s="382"/>
    </row>
    <row r="287" customFormat="false" ht="18" hidden="false" customHeight="true" outlineLevel="0" collapsed="false">
      <c r="B287" s="383" t="s">
        <v>810</v>
      </c>
      <c r="C287" s="384" t="s">
        <v>811</v>
      </c>
      <c r="D287" s="430"/>
      <c r="E287" s="430"/>
      <c r="F287" s="430"/>
      <c r="G287" s="385"/>
      <c r="H287" s="385"/>
      <c r="I287" s="385"/>
      <c r="J287" s="385"/>
      <c r="K287" s="385"/>
      <c r="L287" s="386"/>
    </row>
    <row r="288" s="268" customFormat="true" ht="13.5" hidden="false" customHeight="true" outlineLevel="0" collapsed="false">
      <c r="C288" s="431"/>
    </row>
    <row r="289" s="268" customFormat="true" ht="31.5" hidden="false" customHeight="true" outlineLevel="0" collapsed="false">
      <c r="C289" s="432" t="s">
        <v>763</v>
      </c>
      <c r="D289" s="367" t="s">
        <v>63</v>
      </c>
      <c r="E289" s="367" t="s">
        <v>812</v>
      </c>
      <c r="F289" s="368" t="s">
        <v>813</v>
      </c>
      <c r="G289" s="329"/>
    </row>
    <row r="290" s="268" customFormat="true" ht="12.75" hidden="false" customHeight="true" outlineLevel="0" collapsed="false">
      <c r="C290" s="433" t="s">
        <v>814</v>
      </c>
      <c r="D290" s="434" t="s">
        <v>756</v>
      </c>
      <c r="E290" s="435" t="n">
        <v>1.1</v>
      </c>
      <c r="F290" s="436" t="n">
        <v>0.31</v>
      </c>
    </row>
    <row r="291" s="268" customFormat="true" ht="12.75" hidden="false" customHeight="true" outlineLevel="0" collapsed="false">
      <c r="C291" s="433"/>
      <c r="D291" s="386" t="s">
        <v>815</v>
      </c>
      <c r="E291" s="437" t="n">
        <v>4.67</v>
      </c>
      <c r="F291" s="438" t="n">
        <v>0.08</v>
      </c>
    </row>
    <row r="292" s="268" customFormat="true" ht="12.75" hidden="false" customHeight="true" outlineLevel="0" collapsed="false">
      <c r="C292" s="433"/>
      <c r="D292" s="386" t="s">
        <v>816</v>
      </c>
      <c r="E292" s="437" t="n">
        <v>2.27</v>
      </c>
      <c r="F292" s="438" t="n">
        <v>0.01</v>
      </c>
    </row>
    <row r="293" s="268" customFormat="true" ht="12.75" hidden="false" customHeight="true" outlineLevel="0" collapsed="false">
      <c r="C293" s="433"/>
      <c r="D293" s="386" t="s">
        <v>793</v>
      </c>
      <c r="E293" s="437" t="n">
        <v>6.51</v>
      </c>
      <c r="F293" s="438" t="n">
        <v>0.17</v>
      </c>
    </row>
    <row r="294" s="268" customFormat="true" ht="12.75" hidden="false" customHeight="true" outlineLevel="0" collapsed="false">
      <c r="C294" s="306" t="s">
        <v>817</v>
      </c>
      <c r="D294" s="386" t="s">
        <v>793</v>
      </c>
      <c r="E294" s="439" t="n">
        <v>0.8</v>
      </c>
      <c r="F294" s="438" t="n">
        <v>0.26</v>
      </c>
    </row>
    <row r="295" s="268" customFormat="true" ht="12.75" hidden="false" customHeight="true" outlineLevel="0" collapsed="false">
      <c r="C295" s="422" t="s">
        <v>818</v>
      </c>
      <c r="D295" s="386" t="s">
        <v>819</v>
      </c>
      <c r="E295" s="440" t="n">
        <v>0</v>
      </c>
      <c r="F295" s="438" t="n">
        <v>0.3</v>
      </c>
    </row>
    <row r="296" s="268" customFormat="true" ht="12.75" hidden="false" customHeight="true" outlineLevel="0" collapsed="false">
      <c r="C296" s="422"/>
      <c r="D296" s="386" t="s">
        <v>702</v>
      </c>
      <c r="E296" s="439" t="n">
        <v>7.06</v>
      </c>
      <c r="F296" s="438" t="n">
        <v>0.11</v>
      </c>
    </row>
    <row r="297" s="268" customFormat="true" ht="12.75" hidden="false" customHeight="true" outlineLevel="0" collapsed="false">
      <c r="C297" s="422" t="s">
        <v>820</v>
      </c>
      <c r="D297" s="386" t="s">
        <v>815</v>
      </c>
      <c r="E297" s="437" t="n">
        <v>6.9</v>
      </c>
      <c r="F297" s="438" t="n">
        <v>0.47</v>
      </c>
    </row>
    <row r="298" s="268" customFormat="true" ht="12.75" hidden="false" customHeight="true" outlineLevel="0" collapsed="false">
      <c r="C298" s="422"/>
      <c r="D298" s="386" t="s">
        <v>816</v>
      </c>
      <c r="E298" s="437" t="n">
        <v>1.93</v>
      </c>
      <c r="F298" s="441" t="n">
        <v>1.2</v>
      </c>
    </row>
    <row r="299" s="268" customFormat="true" ht="12.75" hidden="false" customHeight="true" outlineLevel="0" collapsed="false">
      <c r="C299" s="422"/>
      <c r="D299" s="386" t="s">
        <v>821</v>
      </c>
      <c r="E299" s="437" t="n">
        <v>1.93</v>
      </c>
      <c r="F299" s="438" t="n">
        <v>1.2</v>
      </c>
    </row>
    <row r="300" s="268" customFormat="true" ht="12.75" hidden="false" customHeight="true" outlineLevel="0" collapsed="false">
      <c r="C300" s="422"/>
      <c r="D300" s="386" t="s">
        <v>822</v>
      </c>
      <c r="E300" s="437" t="n">
        <v>1.26</v>
      </c>
      <c r="F300" s="438" t="n">
        <v>1.07</v>
      </c>
    </row>
    <row r="301" s="268" customFormat="true" ht="12.75" hidden="false" customHeight="true" outlineLevel="0" collapsed="false">
      <c r="C301" s="422"/>
      <c r="D301" s="386" t="s">
        <v>823</v>
      </c>
      <c r="E301" s="437" t="n">
        <v>0.92</v>
      </c>
      <c r="F301" s="438" t="n">
        <v>0.56</v>
      </c>
    </row>
    <row r="302" s="268" customFormat="true" ht="12.75" hidden="false" customHeight="true" outlineLevel="0" collapsed="false">
      <c r="C302" s="422"/>
      <c r="D302" s="386" t="s">
        <v>78</v>
      </c>
      <c r="E302" s="439" t="n">
        <v>0.33</v>
      </c>
      <c r="F302" s="441" t="n">
        <v>0.94</v>
      </c>
    </row>
    <row r="303" s="268" customFormat="true" ht="12.75" hidden="false" customHeight="true" outlineLevel="0" collapsed="false">
      <c r="C303" s="422" t="s">
        <v>824</v>
      </c>
      <c r="D303" s="386" t="s">
        <v>815</v>
      </c>
      <c r="E303" s="437" t="n">
        <v>8</v>
      </c>
      <c r="F303" s="438" t="n">
        <v>0.12</v>
      </c>
    </row>
    <row r="304" s="268" customFormat="true" ht="12.75" hidden="false" customHeight="true" outlineLevel="0" collapsed="false">
      <c r="C304" s="422"/>
      <c r="D304" s="386" t="s">
        <v>816</v>
      </c>
      <c r="E304" s="437" t="n">
        <v>2.86</v>
      </c>
      <c r="F304" s="441" t="n">
        <v>1.48</v>
      </c>
    </row>
    <row r="305" s="268" customFormat="true" ht="12.75" hidden="false" customHeight="true" outlineLevel="0" collapsed="false">
      <c r="C305" s="422"/>
      <c r="D305" s="386" t="s">
        <v>821</v>
      </c>
      <c r="E305" s="437" t="n">
        <v>2.86</v>
      </c>
      <c r="F305" s="441" t="n">
        <v>1.48</v>
      </c>
    </row>
    <row r="306" s="268" customFormat="true" ht="12.75" hidden="false" customHeight="true" outlineLevel="0" collapsed="false">
      <c r="C306" s="422"/>
      <c r="D306" s="386" t="s">
        <v>822</v>
      </c>
      <c r="E306" s="439" t="n">
        <v>1.01</v>
      </c>
      <c r="F306" s="438" t="n">
        <v>0.94</v>
      </c>
    </row>
    <row r="307" s="268" customFormat="true" ht="12.75" hidden="false" customHeight="true" outlineLevel="0" collapsed="false">
      <c r="C307" s="422"/>
      <c r="D307" s="386" t="s">
        <v>823</v>
      </c>
      <c r="E307" s="437" t="n">
        <v>0.92</v>
      </c>
      <c r="F307" s="438" t="n">
        <v>0.56</v>
      </c>
    </row>
    <row r="308" s="268" customFormat="true" ht="12.75" hidden="false" customHeight="true" outlineLevel="0" collapsed="false">
      <c r="C308" s="422"/>
      <c r="D308" s="442" t="s">
        <v>78</v>
      </c>
      <c r="E308" s="439" t="n">
        <v>0.59</v>
      </c>
      <c r="F308" s="438" t="n">
        <v>0.5</v>
      </c>
    </row>
    <row r="309" s="268" customFormat="true" ht="12.75" hidden="false" customHeight="true" outlineLevel="0" collapsed="false">
      <c r="C309" s="422" t="s">
        <v>825</v>
      </c>
      <c r="D309" s="386" t="s">
        <v>815</v>
      </c>
      <c r="E309" s="437" t="n">
        <v>7.34</v>
      </c>
      <c r="F309" s="438" t="n">
        <v>0.31</v>
      </c>
    </row>
    <row r="310" s="268" customFormat="true" ht="12.75" hidden="false" customHeight="true" outlineLevel="0" collapsed="false">
      <c r="C310" s="422"/>
      <c r="D310" s="386" t="s">
        <v>816</v>
      </c>
      <c r="E310" s="437" t="n">
        <v>3.02</v>
      </c>
      <c r="F310" s="441" t="n">
        <v>1.5</v>
      </c>
    </row>
    <row r="311" s="268" customFormat="true" ht="12.75" hidden="false" customHeight="true" outlineLevel="0" collapsed="false">
      <c r="C311" s="422"/>
      <c r="D311" s="386" t="s">
        <v>793</v>
      </c>
      <c r="E311" s="437" t="n">
        <v>0.67</v>
      </c>
      <c r="F311" s="438" t="n">
        <v>0.49</v>
      </c>
    </row>
    <row r="312" s="268" customFormat="true" ht="12.75" hidden="false" customHeight="true" outlineLevel="0" collapsed="false">
      <c r="C312" s="422"/>
      <c r="D312" s="443" t="s">
        <v>78</v>
      </c>
      <c r="E312" s="437" t="n">
        <v>0.37</v>
      </c>
      <c r="F312" s="438" t="n">
        <v>0.63</v>
      </c>
    </row>
    <row r="313" s="268" customFormat="true" ht="12.75" hidden="false" customHeight="true" outlineLevel="0" collapsed="false">
      <c r="C313" s="422" t="s">
        <v>826</v>
      </c>
      <c r="D313" s="386" t="s">
        <v>827</v>
      </c>
      <c r="E313" s="437" t="n">
        <v>1.07</v>
      </c>
      <c r="F313" s="441" t="n">
        <v>1.12</v>
      </c>
    </row>
    <row r="314" s="268" customFormat="true" ht="12.75" hidden="false" customHeight="true" outlineLevel="0" collapsed="false">
      <c r="C314" s="422"/>
      <c r="D314" s="386" t="s">
        <v>793</v>
      </c>
      <c r="E314" s="437" t="n">
        <v>1.98</v>
      </c>
      <c r="F314" s="441" t="n">
        <v>1.21</v>
      </c>
    </row>
    <row r="315" s="268" customFormat="true" ht="12.75" hidden="false" customHeight="true" outlineLevel="0" collapsed="false">
      <c r="C315" s="422"/>
      <c r="D315" s="386" t="s">
        <v>78</v>
      </c>
      <c r="E315" s="437" t="n">
        <v>0.37</v>
      </c>
      <c r="F315" s="441" t="n">
        <v>0.93</v>
      </c>
    </row>
    <row r="316" s="268" customFormat="true" ht="12.75" hidden="false" customHeight="true" outlineLevel="0" collapsed="false">
      <c r="C316" s="422" t="s">
        <v>828</v>
      </c>
      <c r="D316" s="386" t="s">
        <v>815</v>
      </c>
      <c r="E316" s="437" t="n">
        <v>7.3</v>
      </c>
      <c r="F316" s="441" t="n">
        <v>0.51</v>
      </c>
    </row>
    <row r="317" s="268" customFormat="true" ht="12.75" hidden="false" customHeight="true" outlineLevel="0" collapsed="false">
      <c r="C317" s="422"/>
      <c r="D317" s="386" t="s">
        <v>816</v>
      </c>
      <c r="E317" s="437" t="n">
        <v>2.81</v>
      </c>
      <c r="F317" s="441" t="n">
        <v>1.57</v>
      </c>
    </row>
    <row r="318" s="268" customFormat="true" ht="12.75" hidden="false" customHeight="true" outlineLevel="0" collapsed="false">
      <c r="C318" s="422"/>
      <c r="D318" s="386" t="s">
        <v>793</v>
      </c>
      <c r="E318" s="437" t="n">
        <v>0.43</v>
      </c>
      <c r="F318" s="441" t="n">
        <v>0.62</v>
      </c>
    </row>
    <row r="319" s="268" customFormat="true" ht="12.75" hidden="false" customHeight="true" outlineLevel="0" collapsed="false">
      <c r="C319" s="422"/>
      <c r="D319" s="386" t="s">
        <v>78</v>
      </c>
      <c r="E319" s="437" t="n">
        <v>0.46</v>
      </c>
      <c r="F319" s="441" t="n">
        <v>0.66</v>
      </c>
    </row>
    <row r="320" s="268" customFormat="true" ht="12.75" hidden="false" customHeight="true" outlineLevel="0" collapsed="false">
      <c r="C320" s="422" t="s">
        <v>829</v>
      </c>
      <c r="D320" s="386" t="s">
        <v>815</v>
      </c>
      <c r="E320" s="437" t="n">
        <v>9.62</v>
      </c>
      <c r="F320" s="444" t="n">
        <v>0</v>
      </c>
    </row>
    <row r="321" s="268" customFormat="true" ht="12.75" hidden="false" customHeight="true" outlineLevel="0" collapsed="false">
      <c r="C321" s="422"/>
      <c r="D321" s="386" t="s">
        <v>816</v>
      </c>
      <c r="E321" s="437" t="n">
        <v>3.22</v>
      </c>
      <c r="F321" s="441" t="n">
        <v>2.05</v>
      </c>
    </row>
    <row r="322" s="268" customFormat="true" ht="12.75" hidden="false" customHeight="true" outlineLevel="0" collapsed="false">
      <c r="C322" s="422"/>
      <c r="D322" s="386" t="s">
        <v>793</v>
      </c>
      <c r="E322" s="439" t="n">
        <v>0.49</v>
      </c>
      <c r="F322" s="441" t="n">
        <v>1.26</v>
      </c>
    </row>
    <row r="323" s="268" customFormat="true" ht="12.75" hidden="false" customHeight="true" outlineLevel="0" collapsed="false">
      <c r="C323" s="422" t="s">
        <v>830</v>
      </c>
      <c r="D323" s="386" t="s">
        <v>827</v>
      </c>
      <c r="E323" s="437" t="n">
        <v>3.32</v>
      </c>
      <c r="F323" s="441" t="n">
        <v>1.86</v>
      </c>
    </row>
    <row r="324" s="268" customFormat="true" ht="12.75" hidden="false" customHeight="true" outlineLevel="0" collapsed="false">
      <c r="C324" s="422"/>
      <c r="D324" s="386" t="s">
        <v>793</v>
      </c>
      <c r="E324" s="437" t="n">
        <v>0.41</v>
      </c>
      <c r="F324" s="441" t="n">
        <v>0.97</v>
      </c>
    </row>
    <row r="325" s="268" customFormat="true" ht="12.75" hidden="false" customHeight="true" outlineLevel="0" collapsed="false">
      <c r="C325" s="422"/>
      <c r="D325" s="386" t="s">
        <v>78</v>
      </c>
      <c r="E325" s="437" t="n">
        <v>2.05</v>
      </c>
      <c r="F325" s="438" t="n">
        <v>0.01</v>
      </c>
    </row>
    <row r="326" s="268" customFormat="true" ht="12.75" hidden="false" customHeight="true" outlineLevel="0" collapsed="false">
      <c r="C326" s="425" t="s">
        <v>831</v>
      </c>
      <c r="D326" s="386" t="s">
        <v>815</v>
      </c>
      <c r="E326" s="437" t="n">
        <v>9.86</v>
      </c>
      <c r="F326" s="438" t="n">
        <v>0.11</v>
      </c>
    </row>
    <row r="327" s="268" customFormat="true" ht="12.75" hidden="false" customHeight="true" outlineLevel="0" collapsed="false">
      <c r="C327" s="425"/>
      <c r="D327" s="386" t="s">
        <v>816</v>
      </c>
      <c r="E327" s="437" t="n">
        <v>2.74</v>
      </c>
      <c r="F327" s="441" t="n">
        <v>1.49</v>
      </c>
    </row>
    <row r="328" s="268" customFormat="true" ht="12.75" hidden="false" customHeight="true" outlineLevel="0" collapsed="false">
      <c r="C328" s="425"/>
      <c r="D328" s="386" t="s">
        <v>793</v>
      </c>
      <c r="E328" s="439" t="n">
        <v>0.73</v>
      </c>
      <c r="F328" s="438" t="n">
        <v>0.66</v>
      </c>
    </row>
    <row r="329" s="268" customFormat="true" ht="13.5" hidden="false" customHeight="true" outlineLevel="0" collapsed="false">
      <c r="C329" s="425"/>
      <c r="D329" s="445" t="s">
        <v>78</v>
      </c>
      <c r="E329" s="446" t="n">
        <v>0.44</v>
      </c>
      <c r="F329" s="447" t="n">
        <v>0.61</v>
      </c>
    </row>
    <row r="330" s="268" customFormat="true" ht="12.75" hidden="false" customHeight="true" outlineLevel="0" collapsed="false">
      <c r="C330" s="293" t="s">
        <v>832</v>
      </c>
      <c r="D330" s="382"/>
      <c r="E330" s="382"/>
      <c r="F330" s="382"/>
      <c r="G330" s="329"/>
      <c r="H330" s="329"/>
    </row>
    <row r="331" s="268" customFormat="true" ht="12.75" hidden="false" customHeight="true" outlineLevel="0" collapsed="false">
      <c r="C331" s="412" t="s">
        <v>788</v>
      </c>
      <c r="D331" s="382"/>
      <c r="E331" s="382"/>
      <c r="F331" s="382"/>
      <c r="G331" s="329"/>
      <c r="H331" s="329"/>
    </row>
    <row r="332" customFormat="false" ht="54.75" hidden="false" customHeight="true" outlineLevel="0" collapsed="false">
      <c r="B332" s="448"/>
      <c r="C332" s="286" t="s">
        <v>833</v>
      </c>
      <c r="D332" s="286"/>
      <c r="E332" s="286"/>
      <c r="F332" s="286"/>
      <c r="G332" s="286"/>
      <c r="H332" s="286"/>
    </row>
    <row r="333" customFormat="false" ht="12.75" hidden="false" customHeight="true" outlineLevel="0" collapsed="false">
      <c r="C333" s="382"/>
      <c r="D333" s="382"/>
      <c r="E333" s="382"/>
      <c r="F333" s="382"/>
      <c r="G333" s="382"/>
      <c r="H333" s="382"/>
      <c r="I333" s="382"/>
      <c r="J333" s="382"/>
      <c r="K333" s="382"/>
    </row>
    <row r="334" s="287" customFormat="true" ht="15" hidden="false" customHeight="true" outlineLevel="0" collapsed="false">
      <c r="B334" s="288" t="s">
        <v>834</v>
      </c>
      <c r="C334" s="289" t="s">
        <v>835</v>
      </c>
      <c r="D334" s="290"/>
      <c r="E334" s="290"/>
      <c r="F334" s="291"/>
      <c r="G334" s="385"/>
      <c r="H334" s="385"/>
      <c r="I334" s="385"/>
      <c r="J334" s="385"/>
      <c r="K334" s="385"/>
      <c r="L334" s="386"/>
      <c r="M334" s="268"/>
    </row>
    <row r="335" customFormat="false" ht="13.5" hidden="false" customHeight="true" outlineLevel="0" collapsed="false">
      <c r="C335" s="431"/>
      <c r="D335" s="431"/>
      <c r="E335" s="431"/>
    </row>
    <row r="336" customFormat="false" ht="13.5" hidden="false" customHeight="true" outlineLevel="0" collapsed="false">
      <c r="C336" s="449"/>
      <c r="D336" s="450"/>
      <c r="E336" s="451" t="s">
        <v>836</v>
      </c>
      <c r="F336" s="451"/>
      <c r="G336" s="451"/>
      <c r="H336" s="452" t="s">
        <v>837</v>
      </c>
      <c r="I336" s="452"/>
      <c r="J336" s="452"/>
      <c r="K336" s="453"/>
    </row>
    <row r="337" customFormat="false" ht="15" hidden="false" customHeight="true" outlineLevel="0" collapsed="false">
      <c r="C337" s="454" t="s">
        <v>838</v>
      </c>
      <c r="D337" s="455" t="s">
        <v>839</v>
      </c>
      <c r="E337" s="321" t="s">
        <v>655</v>
      </c>
      <c r="F337" s="456" t="s">
        <v>656</v>
      </c>
      <c r="G337" s="457" t="s">
        <v>657</v>
      </c>
      <c r="H337" s="321" t="s">
        <v>655</v>
      </c>
      <c r="I337" s="456" t="s">
        <v>656</v>
      </c>
      <c r="J337" s="457" t="s">
        <v>657</v>
      </c>
      <c r="K337" s="458" t="s">
        <v>840</v>
      </c>
    </row>
    <row r="338" customFormat="false" ht="15.75" hidden="false" customHeight="true" outlineLevel="0" collapsed="false">
      <c r="C338" s="459"/>
      <c r="D338" s="460"/>
      <c r="E338" s="461" t="s">
        <v>841</v>
      </c>
      <c r="F338" s="462" t="s">
        <v>842</v>
      </c>
      <c r="G338" s="463" t="s">
        <v>843</v>
      </c>
      <c r="H338" s="461" t="s">
        <v>841</v>
      </c>
      <c r="I338" s="462" t="s">
        <v>842</v>
      </c>
      <c r="J338" s="463" t="s">
        <v>843</v>
      </c>
      <c r="K338" s="464"/>
    </row>
    <row r="339" s="268" customFormat="true" ht="14.25" hidden="false" customHeight="true" outlineLevel="0" collapsed="false">
      <c r="C339" s="465" t="s">
        <v>844</v>
      </c>
      <c r="D339" s="466" t="s">
        <v>845</v>
      </c>
      <c r="E339" s="467" t="n">
        <v>899.003</v>
      </c>
      <c r="F339" s="468" t="n">
        <v>0.086</v>
      </c>
      <c r="G339" s="469" t="n">
        <v>0.012</v>
      </c>
      <c r="H339" s="467" t="n">
        <v>1077.11</v>
      </c>
      <c r="I339" s="468" t="n">
        <v>0.116</v>
      </c>
      <c r="J339" s="470" t="n">
        <v>0.016</v>
      </c>
      <c r="K339" s="471" t="n">
        <v>0.041</v>
      </c>
    </row>
    <row r="340" s="268" customFormat="true" ht="14.25" hidden="false" customHeight="true" outlineLevel="0" collapsed="false">
      <c r="C340" s="472" t="s">
        <v>846</v>
      </c>
      <c r="D340" s="473" t="s">
        <v>847</v>
      </c>
      <c r="E340" s="474" t="n">
        <v>519.445</v>
      </c>
      <c r="F340" s="475" t="n">
        <v>0.026</v>
      </c>
      <c r="G340" s="476" t="n">
        <v>0.004</v>
      </c>
      <c r="H340" s="474" t="n">
        <v>1548.607</v>
      </c>
      <c r="I340" s="475" t="n">
        <v>0.067</v>
      </c>
      <c r="J340" s="477" t="n">
        <v>0.012</v>
      </c>
      <c r="K340" s="478" t="n">
        <v>0.041</v>
      </c>
    </row>
    <row r="341" s="268" customFormat="true" ht="14.25" hidden="false" customHeight="true" outlineLevel="0" collapsed="false">
      <c r="C341" s="472" t="s">
        <v>848</v>
      </c>
      <c r="D341" s="473" t="s">
        <v>849</v>
      </c>
      <c r="E341" s="474" t="n">
        <v>740.81</v>
      </c>
      <c r="F341" s="475" t="n">
        <v>0.041</v>
      </c>
      <c r="G341" s="476" t="n">
        <v>0.006</v>
      </c>
      <c r="H341" s="474" t="n">
        <v>1260.436</v>
      </c>
      <c r="I341" s="475" t="n">
        <v>0.067</v>
      </c>
      <c r="J341" s="477" t="n">
        <v>0.009</v>
      </c>
      <c r="K341" s="478" t="n">
        <v>0.041</v>
      </c>
    </row>
    <row r="342" s="268" customFormat="true" ht="14.25" hidden="false" customHeight="true" outlineLevel="0" collapsed="false">
      <c r="C342" s="472" t="s">
        <v>850</v>
      </c>
      <c r="D342" s="473" t="s">
        <v>851</v>
      </c>
      <c r="E342" s="474" t="n">
        <v>436.655</v>
      </c>
      <c r="F342" s="475" t="n">
        <v>0.025</v>
      </c>
      <c r="G342" s="476" t="n">
        <v>0.003</v>
      </c>
      <c r="H342" s="474" t="n">
        <v>1033.985</v>
      </c>
      <c r="I342" s="475" t="n">
        <v>0.051</v>
      </c>
      <c r="J342" s="477" t="n">
        <v>0.007</v>
      </c>
      <c r="K342" s="478" t="n">
        <v>0.041</v>
      </c>
    </row>
    <row r="343" s="268" customFormat="true" ht="14.25" hidden="false" customHeight="true" outlineLevel="0" collapsed="false">
      <c r="C343" s="472" t="s">
        <v>852</v>
      </c>
      <c r="D343" s="473" t="s">
        <v>853</v>
      </c>
      <c r="E343" s="474" t="n">
        <v>738.038</v>
      </c>
      <c r="F343" s="475" t="n">
        <v>0.043</v>
      </c>
      <c r="G343" s="476" t="n">
        <v>0.006</v>
      </c>
      <c r="H343" s="474" t="n">
        <v>1264.939</v>
      </c>
      <c r="I343" s="475" t="n">
        <v>0.076</v>
      </c>
      <c r="J343" s="477" t="n">
        <v>0.01</v>
      </c>
      <c r="K343" s="478" t="n">
        <v>0.042</v>
      </c>
    </row>
    <row r="344" s="268" customFormat="true" ht="14.25" hidden="false" customHeight="true" outlineLevel="0" collapsed="false">
      <c r="C344" s="472" t="s">
        <v>854</v>
      </c>
      <c r="D344" s="473" t="s">
        <v>855</v>
      </c>
      <c r="E344" s="474" t="n">
        <v>801.891</v>
      </c>
      <c r="F344" s="475" t="n">
        <v>0.042</v>
      </c>
      <c r="G344" s="476" t="n">
        <v>0.005</v>
      </c>
      <c r="H344" s="474" t="n">
        <v>1033.954</v>
      </c>
      <c r="I344" s="475" t="n">
        <v>0.045</v>
      </c>
      <c r="J344" s="477" t="n">
        <v>0.006</v>
      </c>
      <c r="K344" s="478" t="n">
        <v>0.042</v>
      </c>
    </row>
    <row r="345" s="268" customFormat="true" ht="14.25" hidden="false" customHeight="true" outlineLevel="0" collapsed="false">
      <c r="C345" s="472" t="s">
        <v>856</v>
      </c>
      <c r="D345" s="473" t="s">
        <v>857</v>
      </c>
      <c r="E345" s="474" t="n">
        <v>1122.117</v>
      </c>
      <c r="F345" s="475" t="n">
        <v>0.146</v>
      </c>
      <c r="G345" s="476" t="n">
        <v>0.022</v>
      </c>
      <c r="H345" s="474" t="n">
        <v>1596.385</v>
      </c>
      <c r="I345" s="475" t="n">
        <v>0.17</v>
      </c>
      <c r="J345" s="477" t="n">
        <v>0.027</v>
      </c>
      <c r="K345" s="478" t="n">
        <v>0.044</v>
      </c>
    </row>
    <row r="346" s="268" customFormat="true" ht="14.25" hidden="false" customHeight="true" outlineLevel="0" collapsed="false">
      <c r="C346" s="472" t="s">
        <v>858</v>
      </c>
      <c r="D346" s="473" t="s">
        <v>859</v>
      </c>
      <c r="E346" s="474" t="n">
        <v>1489.362</v>
      </c>
      <c r="F346" s="475" t="n">
        <v>0.134</v>
      </c>
      <c r="G346" s="476" t="n">
        <v>0.021</v>
      </c>
      <c r="H346" s="474" t="n">
        <v>1753.441</v>
      </c>
      <c r="I346" s="475" t="n">
        <v>0.159</v>
      </c>
      <c r="J346" s="477" t="n">
        <v>0.025</v>
      </c>
      <c r="K346" s="478" t="n">
        <v>0.044</v>
      </c>
    </row>
    <row r="347" s="268" customFormat="true" ht="14.25" hidden="false" customHeight="true" outlineLevel="0" collapsed="false">
      <c r="C347" s="472" t="s">
        <v>860</v>
      </c>
      <c r="D347" s="473" t="s">
        <v>861</v>
      </c>
      <c r="E347" s="474" t="n">
        <v>1402.005</v>
      </c>
      <c r="F347" s="475" t="n">
        <v>0.116</v>
      </c>
      <c r="G347" s="476" t="n">
        <v>0.017</v>
      </c>
      <c r="H347" s="474" t="n">
        <v>1713.772</v>
      </c>
      <c r="I347" s="475" t="n">
        <v>0.161</v>
      </c>
      <c r="J347" s="477" t="n">
        <v>0.023</v>
      </c>
      <c r="K347" s="478" t="n">
        <v>0.042</v>
      </c>
    </row>
    <row r="348" s="268" customFormat="true" ht="14.25" hidden="false" customHeight="true" outlineLevel="0" collapsed="false">
      <c r="C348" s="472" t="s">
        <v>862</v>
      </c>
      <c r="D348" s="473" t="s">
        <v>863</v>
      </c>
      <c r="E348" s="474" t="n">
        <v>920.022</v>
      </c>
      <c r="F348" s="475" t="n">
        <v>0.097</v>
      </c>
      <c r="G348" s="476" t="n">
        <v>0.014</v>
      </c>
      <c r="H348" s="474" t="n">
        <v>1776.58</v>
      </c>
      <c r="I348" s="475" t="n">
        <v>0.18</v>
      </c>
      <c r="J348" s="477" t="n">
        <v>0.026</v>
      </c>
      <c r="K348" s="478" t="n">
        <v>0.042</v>
      </c>
    </row>
    <row r="349" s="268" customFormat="true" ht="14.25" hidden="false" customHeight="true" outlineLevel="0" collapsed="false">
      <c r="C349" s="472" t="s">
        <v>864</v>
      </c>
      <c r="D349" s="473" t="s">
        <v>865</v>
      </c>
      <c r="E349" s="474" t="n">
        <v>537.243</v>
      </c>
      <c r="F349" s="475" t="n">
        <v>0.063</v>
      </c>
      <c r="G349" s="476" t="n">
        <v>0.008</v>
      </c>
      <c r="H349" s="474" t="n">
        <v>885.161</v>
      </c>
      <c r="I349" s="475" t="n">
        <v>0.067</v>
      </c>
      <c r="J349" s="477" t="n">
        <v>0.009</v>
      </c>
      <c r="K349" s="478" t="n">
        <v>0.042</v>
      </c>
    </row>
    <row r="350" s="268" customFormat="true" ht="14.25" hidden="false" customHeight="true" outlineLevel="0" collapsed="false">
      <c r="C350" s="472" t="s">
        <v>866</v>
      </c>
      <c r="D350" s="473" t="s">
        <v>867</v>
      </c>
      <c r="E350" s="474" t="n">
        <v>631.705</v>
      </c>
      <c r="F350" s="475" t="n">
        <v>0.054</v>
      </c>
      <c r="G350" s="476" t="n">
        <v>0.008</v>
      </c>
      <c r="H350" s="474" t="n">
        <v>1613.426</v>
      </c>
      <c r="I350" s="475" t="n">
        <v>0.146</v>
      </c>
      <c r="J350" s="477" t="n">
        <v>0.021</v>
      </c>
      <c r="K350" s="478" t="n">
        <v>0.041</v>
      </c>
    </row>
    <row r="351" s="268" customFormat="true" ht="14.25" hidden="false" customHeight="true" outlineLevel="0" collapsed="false">
      <c r="C351" s="472" t="s">
        <v>868</v>
      </c>
      <c r="D351" s="473" t="s">
        <v>869</v>
      </c>
      <c r="E351" s="474" t="n">
        <v>974.656</v>
      </c>
      <c r="F351" s="475" t="n">
        <v>0.025</v>
      </c>
      <c r="G351" s="476" t="n">
        <v>0.003</v>
      </c>
      <c r="H351" s="474" t="n">
        <v>1008.891</v>
      </c>
      <c r="I351" s="475" t="n">
        <v>0.02</v>
      </c>
      <c r="J351" s="477" t="n">
        <v>0.002</v>
      </c>
      <c r="K351" s="478" t="n">
        <v>0.042</v>
      </c>
    </row>
    <row r="352" s="268" customFormat="true" ht="14.25" hidden="false" customHeight="true" outlineLevel="0" collapsed="false">
      <c r="C352" s="472" t="s">
        <v>870</v>
      </c>
      <c r="D352" s="473" t="s">
        <v>871</v>
      </c>
      <c r="E352" s="474" t="n">
        <v>1180.678</v>
      </c>
      <c r="F352" s="475" t="n">
        <v>0.14</v>
      </c>
      <c r="G352" s="476" t="n">
        <v>0.018</v>
      </c>
      <c r="H352" s="474" t="n">
        <v>1316.557</v>
      </c>
      <c r="I352" s="475" t="n">
        <v>0.05</v>
      </c>
      <c r="J352" s="477" t="n">
        <v>0.006</v>
      </c>
      <c r="K352" s="478" t="n">
        <v>0.042</v>
      </c>
    </row>
    <row r="353" s="268" customFormat="true" ht="14.25" hidden="false" customHeight="true" outlineLevel="0" collapsed="false">
      <c r="C353" s="472" t="s">
        <v>872</v>
      </c>
      <c r="D353" s="473" t="s">
        <v>873</v>
      </c>
      <c r="E353" s="474" t="n">
        <v>240.99</v>
      </c>
      <c r="F353" s="475" t="n">
        <v>0.011</v>
      </c>
      <c r="G353" s="476" t="n">
        <v>0.001</v>
      </c>
      <c r="H353" s="474" t="n">
        <v>909.108</v>
      </c>
      <c r="I353" s="475" t="n">
        <v>0.041</v>
      </c>
      <c r="J353" s="477" t="n">
        <v>0.005</v>
      </c>
      <c r="K353" s="478" t="n">
        <v>0.042</v>
      </c>
    </row>
    <row r="354" s="268" customFormat="true" ht="14.25" hidden="false" customHeight="true" outlineLevel="0" collapsed="false">
      <c r="C354" s="472" t="s">
        <v>874</v>
      </c>
      <c r="D354" s="473" t="s">
        <v>875</v>
      </c>
      <c r="E354" s="474" t="n">
        <v>1542.952</v>
      </c>
      <c r="F354" s="475" t="n">
        <v>0.077</v>
      </c>
      <c r="G354" s="476" t="n">
        <v>0.012</v>
      </c>
      <c r="H354" s="474" t="n">
        <v>1636.738</v>
      </c>
      <c r="I354" s="475" t="n">
        <v>0.072</v>
      </c>
      <c r="J354" s="477" t="n">
        <v>0.012</v>
      </c>
      <c r="K354" s="478"/>
    </row>
    <row r="355" s="268" customFormat="true" ht="14.25" hidden="false" customHeight="true" outlineLevel="0" collapsed="false">
      <c r="C355" s="472" t="s">
        <v>876</v>
      </c>
      <c r="D355" s="473" t="s">
        <v>877</v>
      </c>
      <c r="E355" s="474" t="n">
        <v>594.74</v>
      </c>
      <c r="F355" s="475" t="n">
        <v>0.036</v>
      </c>
      <c r="G355" s="476" t="n">
        <v>0.005</v>
      </c>
      <c r="H355" s="474" t="n">
        <v>1175.499</v>
      </c>
      <c r="I355" s="475" t="n">
        <v>0.077</v>
      </c>
      <c r="J355" s="477" t="n">
        <v>0.01</v>
      </c>
      <c r="K355" s="478" t="n">
        <v>0.042</v>
      </c>
    </row>
    <row r="356" s="268" customFormat="true" ht="14.25" hidden="false" customHeight="true" outlineLevel="0" collapsed="false">
      <c r="C356" s="472" t="s">
        <v>878</v>
      </c>
      <c r="D356" s="473" t="s">
        <v>879</v>
      </c>
      <c r="E356" s="474" t="n">
        <v>962.084</v>
      </c>
      <c r="F356" s="475" t="n">
        <v>0.082</v>
      </c>
      <c r="G356" s="476" t="n">
        <v>0.011</v>
      </c>
      <c r="H356" s="474" t="n">
        <v>1508.119</v>
      </c>
      <c r="I356" s="475" t="n">
        <v>0.144</v>
      </c>
      <c r="J356" s="477" t="n">
        <v>0.02</v>
      </c>
      <c r="K356" s="478" t="n">
        <v>0.042</v>
      </c>
    </row>
    <row r="357" s="268" customFormat="true" ht="14.25" hidden="false" customHeight="true" outlineLevel="0" collapsed="false">
      <c r="C357" s="472" t="s">
        <v>880</v>
      </c>
      <c r="D357" s="473" t="s">
        <v>881</v>
      </c>
      <c r="E357" s="474" t="n">
        <v>911.321</v>
      </c>
      <c r="F357" s="475" t="n">
        <v>0.071</v>
      </c>
      <c r="G357" s="476" t="n">
        <v>0.01</v>
      </c>
      <c r="H357" s="474" t="n">
        <v>1757.345</v>
      </c>
      <c r="I357" s="475" t="n">
        <v>0.161</v>
      </c>
      <c r="J357" s="477" t="n">
        <v>0.023</v>
      </c>
      <c r="K357" s="478" t="n">
        <v>0.042</v>
      </c>
    </row>
    <row r="358" s="268" customFormat="true" ht="14.25" hidden="false" customHeight="true" outlineLevel="0" collapsed="false">
      <c r="C358" s="472" t="s">
        <v>882</v>
      </c>
      <c r="D358" s="473" t="s">
        <v>883</v>
      </c>
      <c r="E358" s="474" t="n">
        <v>1036.021</v>
      </c>
      <c r="F358" s="475" t="n">
        <v>0.09</v>
      </c>
      <c r="G358" s="476" t="n">
        <v>0.013</v>
      </c>
      <c r="H358" s="474" t="n">
        <v>1620.64</v>
      </c>
      <c r="I358" s="475" t="n">
        <v>0.124</v>
      </c>
      <c r="J358" s="477" t="n">
        <v>0.018</v>
      </c>
      <c r="K358" s="478" t="n">
        <v>0.041</v>
      </c>
    </row>
    <row r="359" s="268" customFormat="true" ht="14.25" hidden="false" customHeight="true" outlineLevel="0" collapsed="false">
      <c r="C359" s="472" t="s">
        <v>884</v>
      </c>
      <c r="D359" s="473" t="s">
        <v>885</v>
      </c>
      <c r="E359" s="474" t="n">
        <v>861.925</v>
      </c>
      <c r="F359" s="475" t="n">
        <v>0.087</v>
      </c>
      <c r="G359" s="476" t="n">
        <v>0.012</v>
      </c>
      <c r="H359" s="474" t="n">
        <v>1892.091</v>
      </c>
      <c r="I359" s="475" t="n">
        <v>0.188</v>
      </c>
      <c r="J359" s="477" t="n">
        <v>0.027</v>
      </c>
      <c r="K359" s="478" t="n">
        <v>0.042</v>
      </c>
    </row>
    <row r="360" s="268" customFormat="true" ht="14.25" hidden="false" customHeight="true" outlineLevel="0" collapsed="false">
      <c r="C360" s="472" t="s">
        <v>886</v>
      </c>
      <c r="D360" s="473" t="s">
        <v>887</v>
      </c>
      <c r="E360" s="474" t="n">
        <v>891.103</v>
      </c>
      <c r="F360" s="475" t="n">
        <v>0.055</v>
      </c>
      <c r="G360" s="476" t="n">
        <v>0.008</v>
      </c>
      <c r="H360" s="474" t="n">
        <v>1508.425</v>
      </c>
      <c r="I360" s="475" t="n">
        <v>0.095</v>
      </c>
      <c r="J360" s="477" t="n">
        <v>0.013</v>
      </c>
      <c r="K360" s="478" t="n">
        <v>0.042</v>
      </c>
    </row>
    <row r="361" s="268" customFormat="true" ht="14.25" hidden="false" customHeight="true" outlineLevel="0" collapsed="false">
      <c r="C361" s="472" t="s">
        <v>888</v>
      </c>
      <c r="D361" s="473" t="s">
        <v>889</v>
      </c>
      <c r="E361" s="474" t="n">
        <v>739.415</v>
      </c>
      <c r="F361" s="475" t="n">
        <v>0.032</v>
      </c>
      <c r="G361" s="476" t="n">
        <v>0.004</v>
      </c>
      <c r="H361" s="474" t="n">
        <v>1145.487</v>
      </c>
      <c r="I361" s="475" t="n">
        <v>0.061</v>
      </c>
      <c r="J361" s="477" t="n">
        <v>0.008</v>
      </c>
      <c r="K361" s="478" t="n">
        <v>0.042</v>
      </c>
    </row>
    <row r="362" s="268" customFormat="true" ht="14.25" hidden="false" customHeight="true" outlineLevel="0" collapsed="false">
      <c r="C362" s="472" t="s">
        <v>890</v>
      </c>
      <c r="D362" s="473" t="s">
        <v>891</v>
      </c>
      <c r="E362" s="474" t="n">
        <v>1238.311</v>
      </c>
      <c r="F362" s="475" t="n">
        <v>0.132</v>
      </c>
      <c r="G362" s="476" t="n">
        <v>0.019</v>
      </c>
      <c r="H362" s="474" t="n">
        <v>1818.554</v>
      </c>
      <c r="I362" s="475" t="n">
        <v>0.19</v>
      </c>
      <c r="J362" s="477" t="n">
        <v>0.027</v>
      </c>
      <c r="K362" s="478" t="n">
        <v>0.042</v>
      </c>
    </row>
    <row r="363" s="268" customFormat="true" ht="14.25" hidden="false" customHeight="true" outlineLevel="0" collapsed="false">
      <c r="C363" s="472" t="s">
        <v>892</v>
      </c>
      <c r="D363" s="473" t="s">
        <v>893</v>
      </c>
      <c r="E363" s="474" t="n">
        <v>840.893</v>
      </c>
      <c r="F363" s="475" t="n">
        <v>0.055</v>
      </c>
      <c r="G363" s="476" t="n">
        <v>0.008</v>
      </c>
      <c r="H363" s="474" t="n">
        <v>1385.997</v>
      </c>
      <c r="I363" s="475" t="n">
        <v>0.096</v>
      </c>
      <c r="J363" s="477" t="n">
        <v>0.014</v>
      </c>
      <c r="K363" s="478" t="n">
        <v>0.042</v>
      </c>
    </row>
    <row r="364" s="268" customFormat="true" ht="14.25" hidden="false" customHeight="true" outlineLevel="0" collapsed="false">
      <c r="C364" s="472" t="s">
        <v>894</v>
      </c>
      <c r="D364" s="473" t="s">
        <v>895</v>
      </c>
      <c r="E364" s="474" t="n">
        <v>895.693</v>
      </c>
      <c r="F364" s="475" t="n">
        <v>0.079</v>
      </c>
      <c r="G364" s="476" t="n">
        <v>0.011</v>
      </c>
      <c r="H364" s="474" t="n">
        <v>1665.755</v>
      </c>
      <c r="I364" s="475" t="n">
        <v>0.154</v>
      </c>
      <c r="J364" s="477" t="n">
        <v>0.022</v>
      </c>
      <c r="K364" s="478" t="n">
        <v>0.042</v>
      </c>
    </row>
    <row r="365" s="268" customFormat="true" ht="14.25" hidden="false" customHeight="true" outlineLevel="0" collapsed="false">
      <c r="C365" s="472" t="s">
        <v>896</v>
      </c>
      <c r="D365" s="473" t="s">
        <v>897</v>
      </c>
      <c r="E365" s="474" t="n">
        <v>590.229</v>
      </c>
      <c r="F365" s="475" t="n">
        <v>0.045</v>
      </c>
      <c r="G365" s="476" t="n">
        <v>0.006</v>
      </c>
      <c r="H365" s="474" t="n">
        <v>1286.77</v>
      </c>
      <c r="I365" s="475" t="n">
        <v>0.1</v>
      </c>
      <c r="J365" s="477" t="n">
        <v>0.014</v>
      </c>
      <c r="K365" s="478" t="n">
        <v>0.042</v>
      </c>
    </row>
    <row r="366" s="268" customFormat="true" ht="15" hidden="false" customHeight="true" outlineLevel="0" collapsed="false">
      <c r="C366" s="479" t="s">
        <v>224</v>
      </c>
      <c r="D366" s="480" t="s">
        <v>224</v>
      </c>
      <c r="E366" s="481" t="n">
        <v>771.523</v>
      </c>
      <c r="F366" s="482" t="n">
        <v>0.057</v>
      </c>
      <c r="G366" s="483" t="n">
        <v>0.008</v>
      </c>
      <c r="H366" s="481" t="n">
        <v>1393.7</v>
      </c>
      <c r="I366" s="482" t="n">
        <v>0.104</v>
      </c>
      <c r="J366" s="484" t="n">
        <v>0.015</v>
      </c>
      <c r="K366" s="485" t="n">
        <v>0.042</v>
      </c>
    </row>
    <row r="367" customFormat="false" ht="12.75" hidden="false" customHeight="true" outlineLevel="0" collapsed="false">
      <c r="C367" s="486" t="s">
        <v>898</v>
      </c>
      <c r="D367" s="487"/>
      <c r="E367" s="487"/>
      <c r="F367" s="488"/>
      <c r="G367" s="382"/>
      <c r="H367" s="382"/>
      <c r="I367" s="382"/>
      <c r="K367" s="376"/>
      <c r="L367" s="376"/>
    </row>
    <row r="368" s="282" customFormat="true" ht="11.25" hidden="false" customHeight="true" outlineLevel="0" collapsed="false">
      <c r="B368" s="285"/>
      <c r="C368" s="489" t="s">
        <v>899</v>
      </c>
      <c r="D368" s="382"/>
      <c r="E368" s="382"/>
      <c r="F368" s="382"/>
      <c r="G368" s="382"/>
      <c r="H368" s="382"/>
      <c r="I368" s="382"/>
      <c r="K368" s="490"/>
      <c r="L368" s="361"/>
    </row>
    <row r="369" customFormat="false" ht="12.75" hidden="false" customHeight="true" outlineLevel="0" collapsed="false">
      <c r="C369" s="491" t="s">
        <v>900</v>
      </c>
      <c r="D369" s="491"/>
      <c r="E369" s="491"/>
      <c r="F369" s="491"/>
      <c r="G369" s="491"/>
      <c r="H369" s="491"/>
      <c r="I369" s="491"/>
      <c r="J369" s="491"/>
      <c r="K369" s="271"/>
    </row>
    <row r="370" customFormat="false" ht="12.75" hidden="false" customHeight="true" outlineLevel="0" collapsed="false">
      <c r="C370" s="286" t="s">
        <v>901</v>
      </c>
      <c r="D370" s="286"/>
      <c r="E370" s="286"/>
      <c r="F370" s="286"/>
      <c r="G370" s="286"/>
      <c r="H370" s="286"/>
      <c r="I370" s="286"/>
      <c r="J370" s="286"/>
      <c r="K370" s="271"/>
    </row>
    <row r="371" customFormat="false" ht="12.75" hidden="false" customHeight="true" outlineLevel="0" collapsed="false">
      <c r="C371" s="492" t="s">
        <v>902</v>
      </c>
      <c r="D371" s="382"/>
      <c r="E371" s="382"/>
      <c r="F371" s="382"/>
      <c r="G371" s="382"/>
      <c r="H371" s="382"/>
      <c r="I371" s="382"/>
      <c r="J371" s="382"/>
      <c r="K371" s="271"/>
    </row>
    <row r="372" customFormat="false" ht="12.75" hidden="false" customHeight="true" outlineLevel="0" collapsed="false">
      <c r="C372" s="492" t="s">
        <v>903</v>
      </c>
      <c r="D372" s="382"/>
      <c r="E372" s="382"/>
      <c r="F372" s="382"/>
      <c r="G372" s="382"/>
      <c r="H372" s="382"/>
      <c r="I372" s="382"/>
      <c r="J372" s="382"/>
      <c r="K372" s="271"/>
    </row>
    <row r="373" customFormat="false" ht="12.75" hidden="false" customHeight="true" outlineLevel="0" collapsed="false">
      <c r="C373" s="492" t="s">
        <v>904</v>
      </c>
      <c r="D373" s="382"/>
      <c r="E373" s="382"/>
      <c r="F373" s="382"/>
      <c r="G373" s="382"/>
      <c r="H373" s="382"/>
      <c r="I373" s="382"/>
      <c r="J373" s="382"/>
      <c r="K373" s="271"/>
    </row>
    <row r="374" customFormat="false" ht="12.75" hidden="false" customHeight="true" outlineLevel="0" collapsed="false">
      <c r="C374" s="493" t="s">
        <v>905</v>
      </c>
      <c r="D374" s="382"/>
      <c r="E374" s="382"/>
      <c r="F374" s="382"/>
      <c r="G374" s="382"/>
      <c r="H374" s="382"/>
      <c r="I374" s="382"/>
      <c r="J374" s="382"/>
      <c r="K374" s="271"/>
    </row>
    <row r="375" customFormat="false" ht="12.75" hidden="false" customHeight="true" outlineLevel="0" collapsed="false">
      <c r="C375" s="363" t="s">
        <v>760</v>
      </c>
      <c r="D375" s="382"/>
      <c r="E375" s="382"/>
      <c r="F375" s="382"/>
      <c r="G375" s="382"/>
      <c r="H375" s="382"/>
      <c r="I375" s="382"/>
      <c r="J375" s="382"/>
      <c r="K375" s="382"/>
    </row>
    <row r="376" customFormat="false" ht="12.75" hidden="false" customHeight="true" outlineLevel="0" collapsed="false">
      <c r="D376" s="431"/>
      <c r="E376" s="431"/>
    </row>
    <row r="377" customFormat="false" ht="12.75" hidden="false" customHeight="true" outlineLevel="0" collapsed="false">
      <c r="D377" s="431"/>
      <c r="E377" s="431"/>
    </row>
    <row r="378" customFormat="false" ht="12.75" hidden="false" customHeight="true" outlineLevel="0" collapsed="false">
      <c r="D378" s="431"/>
      <c r="E378" s="431"/>
    </row>
    <row r="379" customFormat="false" ht="12.75" hidden="false" customHeight="true" outlineLevel="0" collapsed="false">
      <c r="D379" s="431"/>
      <c r="E379" s="431"/>
    </row>
    <row r="380" customFormat="false" ht="12.75" hidden="false" customHeight="true" outlineLevel="0" collapsed="false">
      <c r="D380" s="431"/>
      <c r="E380" s="431"/>
    </row>
    <row r="381" customFormat="false" ht="12.75" hidden="false" customHeight="true" outlineLevel="0" collapsed="false">
      <c r="D381" s="431"/>
      <c r="E381" s="431"/>
    </row>
    <row r="382" customFormat="false" ht="12.75" hidden="false" customHeight="true" outlineLevel="0" collapsed="false">
      <c r="D382" s="431"/>
      <c r="E382" s="431"/>
    </row>
    <row r="383" customFormat="false" ht="12.75" hidden="false" customHeight="true" outlineLevel="0" collapsed="false">
      <c r="D383" s="431"/>
      <c r="E383" s="431"/>
    </row>
    <row r="384" customFormat="false" ht="12.75" hidden="false" customHeight="true" outlineLevel="0" collapsed="false">
      <c r="D384" s="431"/>
      <c r="E384" s="431"/>
    </row>
    <row r="385" customFormat="false" ht="12.75" hidden="false" customHeight="true" outlineLevel="0" collapsed="false">
      <c r="D385" s="431"/>
      <c r="E385" s="431"/>
    </row>
    <row r="386" customFormat="false" ht="12.75" hidden="false" customHeight="true" outlineLevel="0" collapsed="false">
      <c r="D386" s="431"/>
      <c r="E386" s="431"/>
    </row>
    <row r="387" customFormat="false" ht="12.75" hidden="false" customHeight="true" outlineLevel="0" collapsed="false">
      <c r="D387" s="431"/>
      <c r="E387" s="431"/>
    </row>
    <row r="388" customFormat="false" ht="12.75" hidden="false" customHeight="true" outlineLevel="0" collapsed="false">
      <c r="D388" s="431"/>
      <c r="E388" s="431"/>
    </row>
    <row r="389" customFormat="false" ht="12.75" hidden="false" customHeight="true" outlineLevel="0" collapsed="false">
      <c r="D389" s="431"/>
      <c r="E389" s="431"/>
    </row>
    <row r="390" customFormat="false" ht="12.75" hidden="false" customHeight="true" outlineLevel="0" collapsed="false">
      <c r="D390" s="431"/>
      <c r="E390" s="431"/>
    </row>
    <row r="391" customFormat="false" ht="12.75" hidden="false" customHeight="true" outlineLevel="0" collapsed="false">
      <c r="D391" s="431"/>
      <c r="E391" s="431"/>
    </row>
    <row r="392" customFormat="false" ht="12.75" hidden="false" customHeight="true" outlineLevel="0" collapsed="false">
      <c r="D392" s="431"/>
      <c r="E392" s="431"/>
    </row>
    <row r="393" customFormat="false" ht="12.75" hidden="false" customHeight="true" outlineLevel="0" collapsed="false">
      <c r="D393" s="431"/>
      <c r="E393" s="431"/>
    </row>
    <row r="394" customFormat="false" ht="12.75" hidden="false" customHeight="true" outlineLevel="0" collapsed="false">
      <c r="D394" s="431"/>
      <c r="E394" s="431"/>
    </row>
    <row r="395" customFormat="false" ht="12.75" hidden="false" customHeight="true" outlineLevel="0" collapsed="false">
      <c r="D395" s="431"/>
      <c r="E395" s="431"/>
    </row>
    <row r="396" customFormat="false" ht="12.75" hidden="false" customHeight="true" outlineLevel="0" collapsed="false">
      <c r="D396" s="431"/>
      <c r="E396" s="431"/>
    </row>
    <row r="397" customFormat="false" ht="12.75" hidden="false" customHeight="true" outlineLevel="0" collapsed="false">
      <c r="D397" s="431"/>
      <c r="E397" s="431"/>
    </row>
    <row r="398" customFormat="false" ht="12.75" hidden="false" customHeight="true" outlineLevel="0" collapsed="false">
      <c r="D398" s="431"/>
      <c r="E398" s="431"/>
    </row>
    <row r="399" customFormat="false" ht="12.75" hidden="false" customHeight="true" outlineLevel="0" collapsed="false">
      <c r="D399" s="431"/>
      <c r="E399" s="431"/>
    </row>
    <row r="400" customFormat="false" ht="12.75" hidden="false" customHeight="true" outlineLevel="0" collapsed="false">
      <c r="D400" s="431"/>
      <c r="E400" s="431"/>
    </row>
    <row r="401" customFormat="false" ht="12.75" hidden="false" customHeight="true" outlineLevel="0" collapsed="false">
      <c r="D401" s="431"/>
      <c r="E401" s="431"/>
    </row>
    <row r="402" customFormat="false" ht="12.75" hidden="false" customHeight="true" outlineLevel="0" collapsed="false">
      <c r="D402" s="431"/>
      <c r="E402" s="431"/>
    </row>
    <row r="403" customFormat="false" ht="12.75" hidden="false" customHeight="true" outlineLevel="0" collapsed="false">
      <c r="D403" s="431"/>
      <c r="E403" s="431"/>
    </row>
    <row r="404" customFormat="false" ht="12.75" hidden="false" customHeight="true" outlineLevel="0" collapsed="false">
      <c r="D404" s="431"/>
      <c r="E404" s="431"/>
    </row>
    <row r="405" customFormat="false" ht="12.75" hidden="false" customHeight="true" outlineLevel="0" collapsed="false">
      <c r="D405" s="431"/>
      <c r="E405" s="431"/>
    </row>
    <row r="406" customFormat="false" ht="15.75" hidden="false" customHeight="true" outlineLevel="0" collapsed="false">
      <c r="D406" s="431"/>
      <c r="E406" s="431"/>
    </row>
    <row r="407" customFormat="false" ht="15" hidden="false" customHeight="true" outlineLevel="0" collapsed="false">
      <c r="B407" s="383" t="s">
        <v>906</v>
      </c>
      <c r="C407" s="384" t="s">
        <v>907</v>
      </c>
      <c r="D407" s="494"/>
      <c r="E407" s="494"/>
      <c r="F407" s="385"/>
      <c r="G407" s="385"/>
      <c r="H407" s="385"/>
      <c r="I407" s="385"/>
      <c r="J407" s="385"/>
      <c r="K407" s="385"/>
      <c r="L407" s="386"/>
    </row>
    <row r="408" customFormat="false" ht="13.5" hidden="false" customHeight="true" outlineLevel="0" collapsed="false"/>
    <row r="409" customFormat="false" ht="31.5" hidden="false" customHeight="true" outlineLevel="0" collapsed="false">
      <c r="C409" s="432"/>
      <c r="D409" s="495" t="s">
        <v>908</v>
      </c>
      <c r="E409" s="367" t="s">
        <v>909</v>
      </c>
      <c r="F409" s="368" t="s">
        <v>910</v>
      </c>
      <c r="G409" s="271"/>
      <c r="H409" s="298"/>
    </row>
    <row r="410" customFormat="false" ht="13.5" hidden="false" customHeight="true" outlineLevel="0" collapsed="false">
      <c r="C410" s="496" t="s">
        <v>907</v>
      </c>
      <c r="D410" s="379" t="n">
        <v>66.33</v>
      </c>
      <c r="E410" s="497" t="n">
        <v>1.25</v>
      </c>
      <c r="F410" s="498" t="n">
        <v>0.125</v>
      </c>
      <c r="H410" s="298"/>
    </row>
    <row r="411" customFormat="false" ht="12.75" hidden="false" customHeight="true" outlineLevel="0" collapsed="false">
      <c r="C411" s="357" t="s">
        <v>900</v>
      </c>
      <c r="D411" s="287"/>
      <c r="E411" s="348"/>
      <c r="F411" s="348"/>
      <c r="G411" s="348"/>
      <c r="H411" s="287"/>
      <c r="I411" s="287"/>
      <c r="J411" s="287"/>
      <c r="K411" s="287"/>
    </row>
    <row r="412" customFormat="false" ht="12.75" hidden="false" customHeight="true" outlineLevel="0" collapsed="false">
      <c r="C412" s="293" t="s">
        <v>911</v>
      </c>
      <c r="D412" s="287"/>
      <c r="E412" s="348"/>
      <c r="F412" s="348"/>
      <c r="G412" s="348"/>
      <c r="H412" s="287"/>
      <c r="I412" s="287"/>
      <c r="J412" s="287"/>
      <c r="K412" s="287"/>
    </row>
    <row r="413" customFormat="false" ht="12.75" hidden="false" customHeight="true" outlineLevel="0" collapsed="false">
      <c r="C413" s="363" t="s">
        <v>760</v>
      </c>
      <c r="D413" s="382"/>
      <c r="E413" s="382"/>
      <c r="F413" s="382"/>
      <c r="G413" s="382"/>
      <c r="H413" s="382"/>
      <c r="I413" s="382"/>
      <c r="J413" s="382"/>
      <c r="K413" s="382"/>
    </row>
    <row r="414" customFormat="false" ht="12.75" hidden="false" customHeight="true" outlineLevel="0" collapsed="false">
      <c r="C414" s="364"/>
      <c r="D414" s="364"/>
      <c r="E414" s="364"/>
      <c r="F414" s="364"/>
      <c r="G414" s="364"/>
      <c r="H414" s="364"/>
      <c r="I414" s="364"/>
      <c r="J414" s="364"/>
      <c r="K414" s="364"/>
    </row>
    <row r="415" customFormat="false" ht="15" hidden="false" customHeight="true" outlineLevel="0" collapsed="false">
      <c r="B415" s="383" t="s">
        <v>912</v>
      </c>
      <c r="C415" s="383"/>
      <c r="D415" s="383"/>
      <c r="E415" s="383"/>
      <c r="F415" s="383"/>
      <c r="G415" s="383"/>
      <c r="H415" s="383"/>
      <c r="I415" s="383"/>
      <c r="J415" s="383"/>
      <c r="K415" s="383"/>
      <c r="L415" s="383"/>
    </row>
    <row r="416" customFormat="false" ht="27" hidden="false" customHeight="true" outlineLevel="0" collapsed="false">
      <c r="B416" s="499" t="s">
        <v>913</v>
      </c>
      <c r="C416" s="499"/>
      <c r="D416" s="499"/>
      <c r="E416" s="499"/>
      <c r="F416" s="499"/>
      <c r="G416" s="499"/>
      <c r="H416" s="499"/>
      <c r="I416" s="499"/>
      <c r="J416" s="499"/>
      <c r="K416" s="499"/>
      <c r="L416" s="499"/>
    </row>
    <row r="417" customFormat="false" ht="12.75" hidden="false" customHeight="true" outlineLevel="0" collapsed="false">
      <c r="B417" s="500" t="s">
        <v>914</v>
      </c>
    </row>
    <row r="419" customFormat="false" ht="15" hidden="false" customHeight="true" outlineLevel="0" collapsed="false">
      <c r="B419" s="383" t="s">
        <v>915</v>
      </c>
      <c r="C419" s="384" t="s">
        <v>916</v>
      </c>
      <c r="D419" s="494"/>
      <c r="E419" s="494"/>
      <c r="F419" s="385"/>
      <c r="G419" s="385"/>
      <c r="H419" s="385"/>
      <c r="I419" s="385"/>
      <c r="J419" s="385"/>
      <c r="K419" s="385"/>
      <c r="L419" s="386"/>
    </row>
    <row r="420" customFormat="false" ht="31.5" hidden="false" customHeight="true" outlineLevel="0" collapsed="false">
      <c r="B420" s="501"/>
      <c r="C420" s="502" t="s">
        <v>917</v>
      </c>
      <c r="D420" s="502"/>
      <c r="E420" s="502"/>
      <c r="F420" s="502"/>
      <c r="G420" s="502"/>
      <c r="H420" s="502"/>
      <c r="I420" s="502"/>
      <c r="J420" s="502"/>
      <c r="K420" s="502"/>
      <c r="L420" s="502"/>
    </row>
    <row r="421" customFormat="false" ht="31.5" hidden="false" customHeight="true" outlineLevel="0" collapsed="false">
      <c r="C421" s="432" t="s">
        <v>763</v>
      </c>
      <c r="D421" s="367" t="s">
        <v>918</v>
      </c>
      <c r="E421" s="367" t="s">
        <v>919</v>
      </c>
      <c r="F421" s="367" t="s">
        <v>920</v>
      </c>
      <c r="G421" s="368" t="s">
        <v>921</v>
      </c>
      <c r="H421" s="271"/>
      <c r="I421" s="311"/>
    </row>
    <row r="422" customFormat="false" ht="15" hidden="false" customHeight="true" outlineLevel="0" collapsed="false">
      <c r="C422" s="503" t="s">
        <v>922</v>
      </c>
      <c r="D422" s="504" t="n">
        <v>1.298</v>
      </c>
      <c r="E422" s="505" t="n">
        <v>0.0115</v>
      </c>
      <c r="F422" s="505" t="n">
        <v>0.0376</v>
      </c>
      <c r="G422" s="506" t="s">
        <v>923</v>
      </c>
      <c r="H422" s="507"/>
      <c r="I422" s="508"/>
      <c r="J422" s="508"/>
    </row>
    <row r="423" customFormat="false" ht="15" hidden="false" customHeight="true" outlineLevel="0" collapsed="false">
      <c r="C423" s="509" t="s">
        <v>924</v>
      </c>
      <c r="D423" s="510" t="n">
        <v>0.297</v>
      </c>
      <c r="E423" s="511" t="n">
        <v>0.0059</v>
      </c>
      <c r="F423" s="511" t="n">
        <v>0.0053</v>
      </c>
      <c r="G423" s="512" t="s">
        <v>923</v>
      </c>
      <c r="H423" s="507"/>
      <c r="I423" s="508"/>
      <c r="J423" s="508"/>
    </row>
    <row r="424" customFormat="false" ht="15" hidden="false" customHeight="true" outlineLevel="0" collapsed="false">
      <c r="C424" s="352" t="s">
        <v>925</v>
      </c>
      <c r="D424" s="513" t="n">
        <v>0.394</v>
      </c>
      <c r="E424" s="514" t="n">
        <v>0.0109</v>
      </c>
      <c r="F424" s="514" t="n">
        <v>0.0088</v>
      </c>
      <c r="G424" s="515" t="s">
        <v>923</v>
      </c>
      <c r="H424" s="507"/>
      <c r="I424" s="508"/>
      <c r="J424" s="508"/>
    </row>
    <row r="425" customFormat="false" ht="15" hidden="false" customHeight="true" outlineLevel="0" collapsed="false">
      <c r="C425" s="503" t="s">
        <v>926</v>
      </c>
      <c r="D425" s="504" t="n">
        <v>0.186</v>
      </c>
      <c r="E425" s="505" t="n">
        <v>0.0016</v>
      </c>
      <c r="F425" s="505" t="n">
        <v>0.0054</v>
      </c>
      <c r="G425" s="506" t="s">
        <v>927</v>
      </c>
      <c r="H425" s="507"/>
      <c r="I425" s="508"/>
      <c r="J425" s="508"/>
    </row>
    <row r="426" customFormat="false" ht="15" hidden="false" customHeight="true" outlineLevel="0" collapsed="false">
      <c r="C426" s="306" t="s">
        <v>928</v>
      </c>
      <c r="D426" s="510" t="n">
        <v>0.021</v>
      </c>
      <c r="E426" s="511" t="n">
        <v>0.0016</v>
      </c>
      <c r="F426" s="511" t="n">
        <v>0.0005</v>
      </c>
      <c r="G426" s="516" t="s">
        <v>927</v>
      </c>
      <c r="H426" s="507"/>
      <c r="I426" s="508"/>
      <c r="J426" s="508"/>
    </row>
    <row r="427" customFormat="false" ht="15" hidden="false" customHeight="true" outlineLevel="0" collapsed="false">
      <c r="C427" s="306" t="s">
        <v>929</v>
      </c>
      <c r="D427" s="510" t="n">
        <v>0.077</v>
      </c>
      <c r="E427" s="511" t="n">
        <v>0.031</v>
      </c>
      <c r="F427" s="511" t="n">
        <v>0.002</v>
      </c>
      <c r="G427" s="516" t="s">
        <v>927</v>
      </c>
      <c r="H427" s="507"/>
      <c r="I427" s="508"/>
      <c r="J427" s="508"/>
    </row>
    <row r="428" customFormat="false" ht="15" hidden="false" customHeight="true" outlineLevel="0" collapsed="false">
      <c r="C428" s="352" t="s">
        <v>818</v>
      </c>
      <c r="D428" s="513" t="n">
        <v>1.086</v>
      </c>
      <c r="E428" s="517" t="n">
        <v>0</v>
      </c>
      <c r="F428" s="514" t="n">
        <v>0.0334</v>
      </c>
      <c r="G428" s="515" t="s">
        <v>927</v>
      </c>
      <c r="H428" s="507"/>
      <c r="I428" s="508"/>
      <c r="J428" s="508"/>
    </row>
    <row r="429" customFormat="false" ht="67.5" hidden="false" customHeight="true" outlineLevel="0" collapsed="false">
      <c r="C429" s="518" t="s">
        <v>930</v>
      </c>
      <c r="D429" s="518"/>
      <c r="E429" s="518"/>
      <c r="F429" s="518"/>
      <c r="G429" s="518"/>
      <c r="H429" s="518"/>
      <c r="I429" s="518"/>
      <c r="J429" s="518"/>
      <c r="K429" s="518"/>
      <c r="L429" s="518"/>
    </row>
    <row r="430" customFormat="false" ht="102" hidden="false" customHeight="true" outlineLevel="0" collapsed="false">
      <c r="C430" s="286" t="s">
        <v>931</v>
      </c>
      <c r="D430" s="286"/>
      <c r="E430" s="286"/>
      <c r="F430" s="286"/>
      <c r="G430" s="286"/>
      <c r="H430" s="286"/>
      <c r="I430" s="286"/>
      <c r="J430" s="286"/>
      <c r="K430" s="286"/>
      <c r="L430" s="286"/>
    </row>
    <row r="431" customFormat="false" ht="12.75" hidden="false" customHeight="true" outlineLevel="0" collapsed="false">
      <c r="C431" s="382"/>
      <c r="D431" s="382"/>
      <c r="E431" s="382"/>
      <c r="F431" s="382"/>
      <c r="G431" s="382"/>
      <c r="H431" s="382"/>
      <c r="I431" s="382"/>
      <c r="J431" s="382"/>
      <c r="K431" s="382"/>
    </row>
    <row r="432" customFormat="false" ht="15" hidden="false" customHeight="true" outlineLevel="0" collapsed="false">
      <c r="B432" s="383" t="s">
        <v>932</v>
      </c>
      <c r="C432" s="384" t="s">
        <v>933</v>
      </c>
      <c r="D432" s="385"/>
      <c r="E432" s="385"/>
      <c r="F432" s="385"/>
      <c r="G432" s="385"/>
      <c r="H432" s="385"/>
      <c r="I432" s="385"/>
      <c r="J432" s="385"/>
      <c r="K432" s="385"/>
      <c r="L432" s="386"/>
    </row>
    <row r="433" customFormat="false" ht="45" hidden="false" customHeight="true" outlineLevel="0" collapsed="false">
      <c r="B433" s="519"/>
      <c r="C433" s="502" t="s">
        <v>934</v>
      </c>
      <c r="D433" s="502"/>
      <c r="E433" s="502"/>
      <c r="F433" s="502"/>
      <c r="G433" s="502"/>
      <c r="H433" s="502"/>
      <c r="I433" s="502"/>
      <c r="J433" s="502"/>
      <c r="K433" s="502"/>
    </row>
    <row r="434" customFormat="false" ht="15.75" hidden="false" customHeight="true" outlineLevel="0" collapsed="false">
      <c r="C434" s="520"/>
      <c r="D434" s="521" t="s">
        <v>935</v>
      </c>
      <c r="E434" s="521"/>
      <c r="F434" s="521"/>
      <c r="G434" s="521"/>
      <c r="H434" s="521"/>
      <c r="I434" s="521"/>
    </row>
    <row r="435" customFormat="false" ht="48" hidden="false" customHeight="true" outlineLevel="0" collapsed="false">
      <c r="C435" s="522" t="s">
        <v>936</v>
      </c>
      <c r="D435" s="523" t="s">
        <v>937</v>
      </c>
      <c r="E435" s="523" t="s">
        <v>938</v>
      </c>
      <c r="F435" s="523" t="s">
        <v>939</v>
      </c>
      <c r="G435" s="523" t="s">
        <v>940</v>
      </c>
      <c r="H435" s="523" t="s">
        <v>941</v>
      </c>
      <c r="I435" s="524" t="s">
        <v>942</v>
      </c>
      <c r="J435" s="329"/>
      <c r="K435" s="329"/>
      <c r="L435" s="329"/>
    </row>
    <row r="436" customFormat="false" ht="12.75" hidden="false" customHeight="true" outlineLevel="0" collapsed="false">
      <c r="C436" s="525" t="s">
        <v>943</v>
      </c>
      <c r="D436" s="526" t="n">
        <v>0.06</v>
      </c>
      <c r="E436" s="527" t="n">
        <v>0.02</v>
      </c>
      <c r="F436" s="527" t="n">
        <v>0.01</v>
      </c>
      <c r="G436" s="527" t="s">
        <v>944</v>
      </c>
      <c r="H436" s="528" t="s">
        <v>944</v>
      </c>
      <c r="I436" s="529" t="s">
        <v>944</v>
      </c>
      <c r="J436" s="329"/>
      <c r="K436" s="329"/>
      <c r="L436" s="329"/>
      <c r="M436" s="329"/>
      <c r="N436" s="329"/>
      <c r="O436" s="329"/>
      <c r="P436" s="329"/>
    </row>
    <row r="437" customFormat="false" ht="12.75" hidden="false" customHeight="true" outlineLevel="0" collapsed="false">
      <c r="C437" s="530" t="s">
        <v>945</v>
      </c>
      <c r="D437" s="531" t="n">
        <v>0.04</v>
      </c>
      <c r="E437" s="527" t="n">
        <v>0.02</v>
      </c>
      <c r="F437" s="527" t="n">
        <v>0.01</v>
      </c>
      <c r="G437" s="527" t="s">
        <v>944</v>
      </c>
      <c r="H437" s="532" t="s">
        <v>944</v>
      </c>
      <c r="I437" s="533" t="s">
        <v>944</v>
      </c>
      <c r="J437" s="329"/>
      <c r="K437" s="329"/>
      <c r="L437" s="329"/>
      <c r="M437" s="329"/>
      <c r="N437" s="329"/>
      <c r="O437" s="329"/>
      <c r="P437" s="329"/>
    </row>
    <row r="438" customFormat="false" ht="12.75" hidden="false" customHeight="true" outlineLevel="0" collapsed="false">
      <c r="C438" s="530" t="s">
        <v>946</v>
      </c>
      <c r="D438" s="531" t="n">
        <v>0.32</v>
      </c>
      <c r="E438" s="527" t="n">
        <v>0.02</v>
      </c>
      <c r="F438" s="527" t="n">
        <v>0.01</v>
      </c>
      <c r="G438" s="527" t="s">
        <v>944</v>
      </c>
      <c r="H438" s="532" t="s">
        <v>944</v>
      </c>
      <c r="I438" s="533" t="s">
        <v>944</v>
      </c>
      <c r="J438" s="329"/>
      <c r="K438" s="329"/>
      <c r="L438" s="329"/>
      <c r="M438" s="329"/>
      <c r="N438" s="329"/>
      <c r="O438" s="329"/>
      <c r="P438" s="329"/>
    </row>
    <row r="439" customFormat="false" ht="12.75" hidden="false" customHeight="true" outlineLevel="0" collapsed="false">
      <c r="C439" s="530" t="s">
        <v>947</v>
      </c>
      <c r="D439" s="531" t="n">
        <v>0.18</v>
      </c>
      <c r="E439" s="527" t="n">
        <v>0.02</v>
      </c>
      <c r="F439" s="527" t="n">
        <v>0.01</v>
      </c>
      <c r="G439" s="527" t="s">
        <v>944</v>
      </c>
      <c r="H439" s="532" t="s">
        <v>944</v>
      </c>
      <c r="I439" s="533" t="s">
        <v>944</v>
      </c>
      <c r="J439" s="329"/>
      <c r="K439" s="329"/>
      <c r="L439" s="329"/>
      <c r="M439" s="329"/>
      <c r="N439" s="329"/>
      <c r="O439" s="329"/>
      <c r="P439" s="329"/>
    </row>
    <row r="440" customFormat="false" ht="12.75" hidden="false" customHeight="true" outlineLevel="0" collapsed="false">
      <c r="C440" s="530" t="s">
        <v>948</v>
      </c>
      <c r="D440" s="531" t="n">
        <v>0.05</v>
      </c>
      <c r="E440" s="527" t="n">
        <v>0.02</v>
      </c>
      <c r="F440" s="527" t="n">
        <v>0.01</v>
      </c>
      <c r="G440" s="527" t="s">
        <v>944</v>
      </c>
      <c r="H440" s="532" t="s">
        <v>944</v>
      </c>
      <c r="I440" s="533" t="s">
        <v>944</v>
      </c>
      <c r="J440" s="329"/>
      <c r="K440" s="329"/>
      <c r="L440" s="329"/>
      <c r="M440" s="329"/>
      <c r="N440" s="329"/>
      <c r="O440" s="329"/>
      <c r="P440" s="329"/>
    </row>
    <row r="441" customFormat="false" ht="12.75" hidden="false" customHeight="true" outlineLevel="0" collapsed="false">
      <c r="C441" s="530" t="s">
        <v>949</v>
      </c>
      <c r="D441" s="531" t="n">
        <v>0.21</v>
      </c>
      <c r="E441" s="527" t="n">
        <v>0.02</v>
      </c>
      <c r="F441" s="527" t="n">
        <v>2.8</v>
      </c>
      <c r="G441" s="527" t="s">
        <v>944</v>
      </c>
      <c r="H441" s="532" t="s">
        <v>944</v>
      </c>
      <c r="I441" s="533" t="s">
        <v>944</v>
      </c>
      <c r="J441" s="329"/>
      <c r="K441" s="329"/>
      <c r="L441" s="329"/>
      <c r="M441" s="329"/>
      <c r="N441" s="329"/>
      <c r="O441" s="329"/>
      <c r="P441" s="329"/>
    </row>
    <row r="442" customFormat="false" ht="12.75" hidden="false" customHeight="true" outlineLevel="0" collapsed="false">
      <c r="C442" s="530" t="s">
        <v>950</v>
      </c>
      <c r="D442" s="531" t="s">
        <v>944</v>
      </c>
      <c r="E442" s="531" t="n">
        <v>0.02</v>
      </c>
      <c r="F442" s="531" t="n">
        <v>2.8</v>
      </c>
      <c r="G442" s="531" t="s">
        <v>944</v>
      </c>
      <c r="H442" s="532" t="s">
        <v>944</v>
      </c>
      <c r="I442" s="533" t="s">
        <v>944</v>
      </c>
      <c r="J442" s="329"/>
      <c r="K442" s="329"/>
      <c r="L442" s="329"/>
      <c r="M442" s="329"/>
      <c r="N442" s="329"/>
      <c r="O442" s="329"/>
      <c r="P442" s="329"/>
    </row>
    <row r="443" customFormat="false" ht="12.75" hidden="false" customHeight="true" outlineLevel="0" collapsed="false">
      <c r="C443" s="530" t="s">
        <v>951</v>
      </c>
      <c r="D443" s="531" t="n">
        <v>0.23</v>
      </c>
      <c r="E443" s="531" t="n">
        <v>0.02</v>
      </c>
      <c r="F443" s="531" t="n">
        <v>2.05</v>
      </c>
      <c r="G443" s="531" t="s">
        <v>944</v>
      </c>
      <c r="H443" s="532" t="s">
        <v>944</v>
      </c>
      <c r="I443" s="533" t="s">
        <v>944</v>
      </c>
      <c r="J443" s="329"/>
      <c r="K443" s="329"/>
      <c r="L443" s="329"/>
      <c r="M443" s="329"/>
      <c r="N443" s="329"/>
      <c r="O443" s="329"/>
      <c r="P443" s="329"/>
    </row>
    <row r="444" customFormat="false" ht="12.75" hidden="false" customHeight="true" outlineLevel="0" collapsed="false">
      <c r="C444" s="530" t="s">
        <v>952</v>
      </c>
      <c r="D444" s="531" t="s">
        <v>944</v>
      </c>
      <c r="E444" s="531" t="n">
        <v>0.02</v>
      </c>
      <c r="F444" s="531" t="n">
        <v>2.8</v>
      </c>
      <c r="G444" s="531" t="s">
        <v>944</v>
      </c>
      <c r="H444" s="532" t="s">
        <v>944</v>
      </c>
      <c r="I444" s="533" t="s">
        <v>944</v>
      </c>
      <c r="J444" s="329"/>
      <c r="K444" s="329"/>
      <c r="L444" s="329"/>
      <c r="M444" s="329"/>
      <c r="N444" s="329"/>
      <c r="O444" s="329"/>
      <c r="P444" s="329"/>
    </row>
    <row r="445" customFormat="false" ht="12.75" hidden="false" customHeight="true" outlineLevel="0" collapsed="false">
      <c r="C445" s="530" t="s">
        <v>953</v>
      </c>
      <c r="D445" s="531" t="n">
        <v>0.2</v>
      </c>
      <c r="E445" s="531" t="n">
        <v>0.02</v>
      </c>
      <c r="F445" s="531" t="n">
        <v>2.8</v>
      </c>
      <c r="G445" s="531" t="s">
        <v>944</v>
      </c>
      <c r="H445" s="532" t="s">
        <v>944</v>
      </c>
      <c r="I445" s="533" t="s">
        <v>944</v>
      </c>
      <c r="J445" s="329"/>
      <c r="K445" s="329"/>
      <c r="L445" s="329"/>
      <c r="M445" s="329"/>
      <c r="N445" s="329"/>
      <c r="O445" s="329"/>
      <c r="P445" s="329"/>
    </row>
    <row r="446" customFormat="false" ht="12.75" hidden="false" customHeight="true" outlineLevel="0" collapsed="false">
      <c r="C446" s="530" t="s">
        <v>954</v>
      </c>
      <c r="D446" s="531" t="s">
        <v>944</v>
      </c>
      <c r="E446" s="531" t="n">
        <v>0.02</v>
      </c>
      <c r="F446" s="531" t="n">
        <v>3.02</v>
      </c>
      <c r="G446" s="531" t="s">
        <v>944</v>
      </c>
      <c r="H446" s="532" t="s">
        <v>944</v>
      </c>
      <c r="I446" s="533" t="s">
        <v>944</v>
      </c>
      <c r="J446" s="329"/>
      <c r="K446" s="329"/>
      <c r="L446" s="329"/>
      <c r="M446" s="329"/>
      <c r="N446" s="329"/>
      <c r="O446" s="329"/>
      <c r="P446" s="329"/>
    </row>
    <row r="447" customFormat="false" ht="12.75" hidden="false" customHeight="true" outlineLevel="0" collapsed="false">
      <c r="C447" s="530" t="s">
        <v>955</v>
      </c>
      <c r="D447" s="531" t="s">
        <v>944</v>
      </c>
      <c r="E447" s="531" t="n">
        <v>0.02</v>
      </c>
      <c r="F447" s="531" t="n">
        <v>1.26</v>
      </c>
      <c r="G447" s="531" t="s">
        <v>944</v>
      </c>
      <c r="H447" s="532" t="s">
        <v>944</v>
      </c>
      <c r="I447" s="533" t="s">
        <v>944</v>
      </c>
      <c r="J447" s="329"/>
      <c r="K447" s="329"/>
      <c r="L447" s="329"/>
      <c r="M447" s="329"/>
      <c r="N447" s="329"/>
      <c r="O447" s="329"/>
      <c r="P447" s="329"/>
    </row>
    <row r="448" customFormat="false" ht="12.75" hidden="false" customHeight="true" outlineLevel="0" collapsed="false">
      <c r="C448" s="530" t="s">
        <v>956</v>
      </c>
      <c r="D448" s="531" t="s">
        <v>944</v>
      </c>
      <c r="E448" s="531" t="n">
        <v>0.02</v>
      </c>
      <c r="F448" s="531" t="n">
        <v>0.01</v>
      </c>
      <c r="G448" s="531" t="n">
        <v>0.13</v>
      </c>
      <c r="H448" s="532" t="s">
        <v>944</v>
      </c>
      <c r="I448" s="533" t="s">
        <v>944</v>
      </c>
      <c r="J448" s="329"/>
      <c r="K448" s="329"/>
      <c r="L448" s="329"/>
      <c r="M448" s="329"/>
      <c r="N448" s="329"/>
      <c r="O448" s="329"/>
      <c r="P448" s="329"/>
    </row>
    <row r="449" customFormat="false" ht="12.75" hidden="false" customHeight="true" outlineLevel="0" collapsed="false">
      <c r="C449" s="530" t="s">
        <v>957</v>
      </c>
      <c r="D449" s="531" t="n">
        <v>0.11</v>
      </c>
      <c r="E449" s="531" t="n">
        <v>1</v>
      </c>
      <c r="F449" s="531" t="n">
        <v>0.05</v>
      </c>
      <c r="G449" s="531" t="s">
        <v>944</v>
      </c>
      <c r="H449" s="532" t="s">
        <v>944</v>
      </c>
      <c r="I449" s="533" t="s">
        <v>944</v>
      </c>
      <c r="J449" s="329"/>
      <c r="K449" s="329"/>
      <c r="L449" s="329"/>
      <c r="M449" s="329"/>
      <c r="N449" s="329"/>
      <c r="O449" s="329"/>
      <c r="P449" s="329"/>
    </row>
    <row r="450" customFormat="false" ht="12.75" hidden="false" customHeight="true" outlineLevel="0" collapsed="false">
      <c r="C450" s="530" t="s">
        <v>958</v>
      </c>
      <c r="D450" s="531" t="n">
        <v>0.02</v>
      </c>
      <c r="E450" s="531" t="n">
        <v>0.46</v>
      </c>
      <c r="F450" s="531" t="n">
        <v>0.05</v>
      </c>
      <c r="G450" s="531" t="s">
        <v>944</v>
      </c>
      <c r="H450" s="532" t="s">
        <v>944</v>
      </c>
      <c r="I450" s="533" t="s">
        <v>944</v>
      </c>
      <c r="J450" s="329"/>
      <c r="K450" s="329"/>
      <c r="L450" s="329"/>
      <c r="M450" s="329"/>
      <c r="N450" s="329"/>
      <c r="O450" s="329"/>
      <c r="P450" s="329"/>
    </row>
    <row r="451" customFormat="false" ht="12.75" hidden="false" customHeight="true" outlineLevel="0" collapsed="false">
      <c r="C451" s="530" t="s">
        <v>959</v>
      </c>
      <c r="D451" s="531" t="n">
        <v>0.02</v>
      </c>
      <c r="E451" s="531" t="n">
        <v>0.39</v>
      </c>
      <c r="F451" s="531" t="n">
        <v>0.05</v>
      </c>
      <c r="G451" s="531" t="s">
        <v>944</v>
      </c>
      <c r="H451" s="532" t="s">
        <v>944</v>
      </c>
      <c r="I451" s="533" t="s">
        <v>944</v>
      </c>
      <c r="J451" s="329"/>
      <c r="K451" s="329"/>
      <c r="L451" s="329"/>
      <c r="M451" s="329"/>
      <c r="N451" s="329"/>
      <c r="O451" s="329"/>
      <c r="P451" s="329"/>
    </row>
    <row r="452" customFormat="false" ht="12.75" hidden="false" customHeight="true" outlineLevel="0" collapsed="false">
      <c r="C452" s="530" t="s">
        <v>960</v>
      </c>
      <c r="D452" s="531" t="n">
        <v>0.02</v>
      </c>
      <c r="E452" s="531" t="n">
        <v>1.41</v>
      </c>
      <c r="F452" s="531" t="n">
        <v>0.05</v>
      </c>
      <c r="G452" s="531" t="s">
        <v>944</v>
      </c>
      <c r="H452" s="532" t="s">
        <v>944</v>
      </c>
      <c r="I452" s="533" t="s">
        <v>944</v>
      </c>
      <c r="J452" s="329"/>
      <c r="K452" s="329"/>
      <c r="L452" s="329"/>
      <c r="M452" s="329"/>
      <c r="N452" s="329"/>
      <c r="O452" s="329"/>
      <c r="P452" s="329"/>
    </row>
    <row r="453" customFormat="false" ht="12.75" hidden="false" customHeight="true" outlineLevel="0" collapsed="false">
      <c r="C453" s="530" t="s">
        <v>961</v>
      </c>
      <c r="D453" s="531" t="n">
        <v>0.04</v>
      </c>
      <c r="E453" s="531" t="n">
        <v>0.39</v>
      </c>
      <c r="F453" s="531" t="n">
        <v>0.05</v>
      </c>
      <c r="G453" s="531" t="s">
        <v>944</v>
      </c>
      <c r="H453" s="532" t="s">
        <v>944</v>
      </c>
      <c r="I453" s="533" t="s">
        <v>944</v>
      </c>
      <c r="J453" s="329"/>
      <c r="K453" s="329"/>
      <c r="L453" s="329"/>
      <c r="M453" s="329"/>
      <c r="N453" s="329"/>
      <c r="O453" s="329"/>
      <c r="P453" s="329"/>
    </row>
    <row r="454" customFormat="false" ht="12.75" hidden="false" customHeight="true" outlineLevel="0" collapsed="false">
      <c r="C454" s="530" t="s">
        <v>962</v>
      </c>
      <c r="D454" s="531" t="n">
        <v>0.04</v>
      </c>
      <c r="E454" s="531" t="n">
        <v>1.41</v>
      </c>
      <c r="F454" s="531" t="n">
        <v>0.05</v>
      </c>
      <c r="G454" s="531" t="s">
        <v>944</v>
      </c>
      <c r="H454" s="532" t="s">
        <v>944</v>
      </c>
      <c r="I454" s="533" t="s">
        <v>944</v>
      </c>
      <c r="J454" s="329"/>
      <c r="K454" s="329"/>
      <c r="L454" s="329"/>
      <c r="M454" s="329"/>
      <c r="N454" s="329"/>
      <c r="O454" s="329"/>
      <c r="P454" s="329"/>
    </row>
    <row r="455" customFormat="false" ht="12.75" hidden="false" customHeight="true" outlineLevel="0" collapsed="false">
      <c r="C455" s="530" t="s">
        <v>963</v>
      </c>
      <c r="D455" s="531" t="s">
        <v>944</v>
      </c>
      <c r="E455" s="531" t="n">
        <v>0.17</v>
      </c>
      <c r="F455" s="531" t="n">
        <v>0.05</v>
      </c>
      <c r="G455" s="531" t="s">
        <v>944</v>
      </c>
      <c r="H455" s="532" t="s">
        <v>944</v>
      </c>
      <c r="I455" s="533" t="s">
        <v>944</v>
      </c>
      <c r="J455" s="329"/>
      <c r="K455" s="329"/>
      <c r="L455" s="329"/>
      <c r="M455" s="329"/>
      <c r="N455" s="329"/>
      <c r="O455" s="329"/>
      <c r="P455" s="329"/>
    </row>
    <row r="456" customFormat="false" ht="12.75" hidden="false" customHeight="true" outlineLevel="0" collapsed="false">
      <c r="C456" s="530" t="s">
        <v>964</v>
      </c>
      <c r="D456" s="531" t="s">
        <v>944</v>
      </c>
      <c r="E456" s="531" t="n">
        <v>0.07</v>
      </c>
      <c r="F456" s="531" t="n">
        <v>0.05</v>
      </c>
      <c r="G456" s="531" t="s">
        <v>944</v>
      </c>
      <c r="H456" s="532" t="s">
        <v>944</v>
      </c>
      <c r="I456" s="533" t="s">
        <v>944</v>
      </c>
      <c r="J456" s="329"/>
      <c r="K456" s="329"/>
      <c r="L456" s="329"/>
      <c r="M456" s="329"/>
      <c r="N456" s="329"/>
      <c r="O456" s="329"/>
      <c r="P456" s="329"/>
    </row>
    <row r="457" customFormat="false" ht="12.75" hidden="false" customHeight="true" outlineLevel="0" collapsed="false">
      <c r="C457" s="530" t="s">
        <v>965</v>
      </c>
      <c r="D457" s="531" t="s">
        <v>944</v>
      </c>
      <c r="E457" s="531" t="n">
        <v>0.67</v>
      </c>
      <c r="F457" s="531" t="n">
        <v>0.05</v>
      </c>
      <c r="G457" s="531" t="n">
        <v>0.11</v>
      </c>
      <c r="H457" s="534" t="n">
        <v>0.14</v>
      </c>
      <c r="I457" s="535" t="n">
        <v>0.11</v>
      </c>
      <c r="J457" s="329"/>
      <c r="K457" s="329"/>
      <c r="L457" s="329"/>
      <c r="M457" s="329"/>
      <c r="N457" s="329"/>
      <c r="O457" s="329"/>
      <c r="P457" s="329"/>
    </row>
    <row r="458" customFormat="false" ht="12.75" hidden="false" customHeight="true" outlineLevel="0" collapsed="false">
      <c r="C458" s="530" t="s">
        <v>966</v>
      </c>
      <c r="D458" s="531" t="s">
        <v>944</v>
      </c>
      <c r="E458" s="531" t="n">
        <v>0.69</v>
      </c>
      <c r="F458" s="531" t="n">
        <v>0.05</v>
      </c>
      <c r="G458" s="531" t="n">
        <v>0.11</v>
      </c>
      <c r="H458" s="534" t="n">
        <v>0.14</v>
      </c>
      <c r="I458" s="535" t="n">
        <v>0.11</v>
      </c>
      <c r="J458" s="329"/>
      <c r="K458" s="329"/>
      <c r="L458" s="329"/>
      <c r="M458" s="329"/>
      <c r="N458" s="329"/>
      <c r="O458" s="329"/>
      <c r="P458" s="329"/>
    </row>
    <row r="459" customFormat="false" ht="12.75" hidden="false" customHeight="true" outlineLevel="0" collapsed="false">
      <c r="C459" s="530" t="s">
        <v>967</v>
      </c>
      <c r="D459" s="531" t="s">
        <v>944</v>
      </c>
      <c r="E459" s="531" t="n">
        <v>0.64</v>
      </c>
      <c r="F459" s="531" t="n">
        <v>0.05</v>
      </c>
      <c r="G459" s="531" t="n">
        <v>0.11</v>
      </c>
      <c r="H459" s="534" t="n">
        <v>0.14</v>
      </c>
      <c r="I459" s="535" t="n">
        <v>0.11</v>
      </c>
      <c r="J459" s="329"/>
      <c r="K459" s="329"/>
      <c r="L459" s="329"/>
      <c r="M459" s="329"/>
      <c r="N459" s="329"/>
      <c r="O459" s="329"/>
      <c r="P459" s="329"/>
    </row>
    <row r="460" customFormat="false" ht="12.75" hidden="false" customHeight="true" outlineLevel="0" collapsed="false">
      <c r="C460" s="530" t="s">
        <v>968</v>
      </c>
      <c r="D460" s="531" t="s">
        <v>944</v>
      </c>
      <c r="E460" s="531" t="n">
        <v>0.73</v>
      </c>
      <c r="F460" s="531" t="n">
        <v>0.05</v>
      </c>
      <c r="G460" s="531" t="n">
        <v>0.11</v>
      </c>
      <c r="H460" s="534" t="n">
        <v>0.14</v>
      </c>
      <c r="I460" s="535" t="n">
        <v>0.11</v>
      </c>
      <c r="J460" s="329"/>
      <c r="K460" s="329"/>
      <c r="L460" s="329"/>
      <c r="M460" s="329"/>
      <c r="N460" s="329"/>
      <c r="O460" s="329"/>
      <c r="P460" s="329"/>
    </row>
    <row r="461" customFormat="false" ht="12.75" hidden="false" customHeight="true" outlineLevel="0" collapsed="false">
      <c r="C461" s="530" t="s">
        <v>969</v>
      </c>
      <c r="D461" s="531" t="s">
        <v>944</v>
      </c>
      <c r="E461" s="531" t="n">
        <v>2.06</v>
      </c>
      <c r="F461" s="531" t="n">
        <v>0.05</v>
      </c>
      <c r="G461" s="531" t="n">
        <v>0.11</v>
      </c>
      <c r="H461" s="534" t="n">
        <v>0.14</v>
      </c>
      <c r="I461" s="535" t="n">
        <v>0.11</v>
      </c>
      <c r="J461" s="329"/>
      <c r="K461" s="329"/>
      <c r="L461" s="329"/>
      <c r="M461" s="329"/>
      <c r="N461" s="329"/>
      <c r="O461" s="329"/>
      <c r="P461" s="329"/>
    </row>
    <row r="462" customFormat="false" ht="12.75" hidden="false" customHeight="true" outlineLevel="0" collapsed="false">
      <c r="C462" s="530" t="s">
        <v>970</v>
      </c>
      <c r="D462" s="531" t="s">
        <v>944</v>
      </c>
      <c r="E462" s="531" t="n">
        <v>1.49</v>
      </c>
      <c r="F462" s="531" t="n">
        <v>0.05</v>
      </c>
      <c r="G462" s="531" t="n">
        <v>0.11</v>
      </c>
      <c r="H462" s="534" t="n">
        <v>0.14</v>
      </c>
      <c r="I462" s="535" t="n">
        <v>0.11</v>
      </c>
      <c r="J462" s="329"/>
      <c r="K462" s="329"/>
      <c r="L462" s="329"/>
      <c r="M462" s="329"/>
      <c r="N462" s="329"/>
      <c r="O462" s="329"/>
      <c r="P462" s="329"/>
    </row>
    <row r="463" customFormat="false" ht="12.75" hidden="false" customHeight="true" outlineLevel="0" collapsed="false">
      <c r="C463" s="530" t="s">
        <v>971</v>
      </c>
      <c r="D463" s="531" t="s">
        <v>944</v>
      </c>
      <c r="E463" s="531" t="n">
        <v>0.28</v>
      </c>
      <c r="F463" s="531" t="n">
        <v>0.05</v>
      </c>
      <c r="G463" s="531" t="n">
        <v>0.11</v>
      </c>
      <c r="H463" s="534" t="n">
        <v>0.14</v>
      </c>
      <c r="I463" s="535" t="n">
        <v>0.11</v>
      </c>
      <c r="J463" s="329"/>
      <c r="K463" s="329"/>
      <c r="L463" s="329"/>
      <c r="M463" s="329"/>
      <c r="N463" s="329"/>
      <c r="O463" s="329"/>
      <c r="P463" s="329"/>
    </row>
    <row r="464" customFormat="false" ht="12.75" hidden="false" customHeight="true" outlineLevel="0" collapsed="false">
      <c r="C464" s="530" t="s">
        <v>972</v>
      </c>
      <c r="D464" s="531" t="s">
        <v>944</v>
      </c>
      <c r="E464" s="531" t="n">
        <v>0.72</v>
      </c>
      <c r="F464" s="531" t="n">
        <v>0.05</v>
      </c>
      <c r="G464" s="531" t="n">
        <v>0.11</v>
      </c>
      <c r="H464" s="534" t="n">
        <v>0.14</v>
      </c>
      <c r="I464" s="535" t="n">
        <v>0.11</v>
      </c>
      <c r="J464" s="329"/>
      <c r="K464" s="329"/>
      <c r="L464" s="329"/>
      <c r="M464" s="329"/>
      <c r="N464" s="329"/>
      <c r="O464" s="329"/>
      <c r="P464" s="329"/>
    </row>
    <row r="465" customFormat="false" ht="12.75" hidden="false" customHeight="true" outlineLevel="0" collapsed="false">
      <c r="C465" s="530" t="s">
        <v>973</v>
      </c>
      <c r="D465" s="531" t="s">
        <v>944</v>
      </c>
      <c r="E465" s="531" t="n">
        <v>0.36</v>
      </c>
      <c r="F465" s="531" t="n">
        <v>0.05</v>
      </c>
      <c r="G465" s="531" t="n">
        <v>0.14</v>
      </c>
      <c r="H465" s="534" t="n">
        <v>0.11</v>
      </c>
      <c r="I465" s="535" t="s">
        <v>944</v>
      </c>
      <c r="J465" s="329"/>
      <c r="K465" s="329"/>
      <c r="L465" s="329"/>
      <c r="M465" s="329"/>
      <c r="N465" s="329"/>
      <c r="O465" s="329"/>
      <c r="P465" s="329"/>
    </row>
    <row r="466" customFormat="false" ht="12.75" hidden="false" customHeight="true" outlineLevel="0" collapsed="false">
      <c r="C466" s="530" t="s">
        <v>974</v>
      </c>
      <c r="D466" s="531" t="s">
        <v>944</v>
      </c>
      <c r="E466" s="531" t="n">
        <v>0.28</v>
      </c>
      <c r="F466" s="531" t="n">
        <v>0.05</v>
      </c>
      <c r="G466" s="531" t="n">
        <v>0.14</v>
      </c>
      <c r="H466" s="534" t="n">
        <v>0.09</v>
      </c>
      <c r="I466" s="535" t="s">
        <v>944</v>
      </c>
      <c r="J466" s="329"/>
      <c r="K466" s="329"/>
      <c r="L466" s="329"/>
      <c r="M466" s="329"/>
      <c r="N466" s="329"/>
      <c r="O466" s="329"/>
      <c r="P466" s="329"/>
    </row>
    <row r="467" customFormat="false" ht="12.75" hidden="false" customHeight="true" outlineLevel="0" collapsed="false">
      <c r="C467" s="530" t="s">
        <v>975</v>
      </c>
      <c r="D467" s="531" t="s">
        <v>944</v>
      </c>
      <c r="E467" s="531" t="n">
        <v>0.28</v>
      </c>
      <c r="F467" s="531" t="n">
        <v>0.05</v>
      </c>
      <c r="G467" s="531" t="n">
        <v>0.14</v>
      </c>
      <c r="H467" s="534" t="n">
        <v>0.12</v>
      </c>
      <c r="I467" s="535" t="s">
        <v>944</v>
      </c>
      <c r="J467" s="329"/>
      <c r="K467" s="329"/>
      <c r="L467" s="329"/>
      <c r="M467" s="329"/>
      <c r="N467" s="329"/>
      <c r="O467" s="329"/>
      <c r="P467" s="329"/>
    </row>
    <row r="468" customFormat="false" ht="12.75" hidden="false" customHeight="true" outlineLevel="0" collapsed="false">
      <c r="C468" s="530" t="s">
        <v>976</v>
      </c>
      <c r="D468" s="531" t="s">
        <v>944</v>
      </c>
      <c r="E468" s="531" t="n">
        <v>0.58</v>
      </c>
      <c r="F468" s="531" t="n">
        <v>0.05</v>
      </c>
      <c r="G468" s="531" t="n">
        <v>0.14</v>
      </c>
      <c r="H468" s="534" t="n">
        <v>0.15</v>
      </c>
      <c r="I468" s="535" t="s">
        <v>944</v>
      </c>
      <c r="J468" s="329"/>
      <c r="K468" s="329"/>
      <c r="L468" s="329"/>
      <c r="M468" s="329"/>
      <c r="N468" s="329"/>
      <c r="O468" s="329"/>
      <c r="P468" s="329"/>
    </row>
    <row r="469" customFormat="false" ht="12.75" hidden="false" customHeight="true" outlineLevel="0" collapsed="false">
      <c r="C469" s="530" t="s">
        <v>977</v>
      </c>
      <c r="D469" s="531" t="n">
        <v>0.07</v>
      </c>
      <c r="E469" s="531" t="n">
        <v>0.89</v>
      </c>
      <c r="F469" s="531" t="n">
        <v>0.05</v>
      </c>
      <c r="G469" s="531" t="s">
        <v>944</v>
      </c>
      <c r="H469" s="534" t="s">
        <v>944</v>
      </c>
      <c r="I469" s="535" t="s">
        <v>944</v>
      </c>
      <c r="J469" s="329"/>
      <c r="K469" s="329"/>
      <c r="L469" s="329"/>
      <c r="M469" s="329"/>
      <c r="N469" s="329"/>
      <c r="O469" s="329"/>
      <c r="P469" s="329"/>
    </row>
    <row r="470" customFormat="false" ht="12.75" hidden="false" customHeight="true" outlineLevel="0" collapsed="false">
      <c r="C470" s="530" t="s">
        <v>978</v>
      </c>
      <c r="D470" s="531" t="n">
        <v>0.07</v>
      </c>
      <c r="E470" s="531" t="n">
        <v>0.86</v>
      </c>
      <c r="F470" s="531" t="n">
        <v>0.05</v>
      </c>
      <c r="G470" s="531" t="s">
        <v>944</v>
      </c>
      <c r="H470" s="534" t="s">
        <v>944</v>
      </c>
      <c r="I470" s="535" t="s">
        <v>944</v>
      </c>
      <c r="J470" s="329"/>
      <c r="K470" s="329"/>
      <c r="L470" s="329"/>
      <c r="M470" s="329"/>
      <c r="N470" s="329"/>
      <c r="O470" s="329"/>
      <c r="P470" s="329"/>
    </row>
    <row r="471" customFormat="false" ht="12.75" hidden="false" customHeight="true" outlineLevel="0" collapsed="false">
      <c r="C471" s="530" t="s">
        <v>979</v>
      </c>
      <c r="D471" s="531" t="n">
        <v>0.03</v>
      </c>
      <c r="E471" s="531" t="n">
        <v>0.84</v>
      </c>
      <c r="F471" s="531" t="n">
        <v>0.05</v>
      </c>
      <c r="G471" s="531" t="s">
        <v>944</v>
      </c>
      <c r="H471" s="534" t="s">
        <v>944</v>
      </c>
      <c r="I471" s="535" t="s">
        <v>944</v>
      </c>
      <c r="J471" s="329"/>
      <c r="K471" s="329"/>
      <c r="L471" s="329"/>
      <c r="M471" s="329"/>
      <c r="N471" s="329"/>
      <c r="O471" s="329"/>
      <c r="P471" s="329"/>
    </row>
    <row r="472" customFormat="false" ht="12.75" hidden="false" customHeight="true" outlineLevel="0" collapsed="false">
      <c r="C472" s="530" t="s">
        <v>980</v>
      </c>
      <c r="D472" s="531" t="n">
        <v>0.23</v>
      </c>
      <c r="E472" s="531" t="n">
        <v>0.02</v>
      </c>
      <c r="F472" s="531" t="n">
        <v>0.01</v>
      </c>
      <c r="G472" s="531" t="s">
        <v>944</v>
      </c>
      <c r="H472" s="534" t="s">
        <v>944</v>
      </c>
      <c r="I472" s="535" t="s">
        <v>944</v>
      </c>
      <c r="J472" s="329"/>
      <c r="K472" s="329"/>
      <c r="L472" s="329"/>
      <c r="M472" s="329"/>
      <c r="N472" s="329"/>
      <c r="O472" s="329"/>
      <c r="P472" s="329"/>
    </row>
    <row r="473" customFormat="false" ht="12.75" hidden="false" customHeight="true" outlineLevel="0" collapsed="false">
      <c r="C473" s="530" t="s">
        <v>981</v>
      </c>
      <c r="D473" s="531" t="n">
        <v>0.22</v>
      </c>
      <c r="E473" s="531" t="n">
        <v>0.02</v>
      </c>
      <c r="F473" s="531" t="n">
        <v>2.34</v>
      </c>
      <c r="G473" s="531" t="s">
        <v>944</v>
      </c>
      <c r="H473" s="534" t="s">
        <v>944</v>
      </c>
      <c r="I473" s="535" t="s">
        <v>944</v>
      </c>
      <c r="J473" s="329"/>
      <c r="K473" s="329"/>
      <c r="L473" s="329"/>
      <c r="M473" s="329"/>
      <c r="N473" s="329"/>
      <c r="O473" s="329"/>
      <c r="P473" s="329"/>
    </row>
    <row r="474" customFormat="false" ht="12.75" hidden="false" customHeight="true" outlineLevel="0" collapsed="false">
      <c r="C474" s="530" t="s">
        <v>982</v>
      </c>
      <c r="D474" s="531" t="n">
        <v>0.09</v>
      </c>
      <c r="E474" s="531" t="n">
        <v>0.75</v>
      </c>
      <c r="F474" s="531" t="n">
        <v>0.11</v>
      </c>
      <c r="G474" s="531" t="s">
        <v>944</v>
      </c>
      <c r="H474" s="534" t="s">
        <v>944</v>
      </c>
      <c r="I474" s="535" t="s">
        <v>944</v>
      </c>
      <c r="J474" s="329"/>
      <c r="K474" s="329"/>
      <c r="L474" s="329"/>
      <c r="M474" s="329"/>
      <c r="N474" s="329"/>
      <c r="O474" s="329"/>
      <c r="P474" s="329"/>
    </row>
    <row r="475" customFormat="false" ht="12.75" hidden="false" customHeight="true" outlineLevel="0" collapsed="false">
      <c r="C475" s="530" t="s">
        <v>983</v>
      </c>
      <c r="D475" s="531" t="s">
        <v>944</v>
      </c>
      <c r="E475" s="531" t="n">
        <v>0.68</v>
      </c>
      <c r="F475" s="531" t="n">
        <v>0.05</v>
      </c>
      <c r="G475" s="531" t="n">
        <v>0.11</v>
      </c>
      <c r="H475" s="534" t="s">
        <v>944</v>
      </c>
      <c r="I475" s="535" t="s">
        <v>944</v>
      </c>
      <c r="J475" s="329"/>
      <c r="K475" s="329"/>
      <c r="L475" s="329"/>
      <c r="M475" s="329"/>
      <c r="N475" s="329"/>
      <c r="O475" s="329"/>
      <c r="P475" s="329"/>
    </row>
    <row r="476" customFormat="false" ht="12.75" hidden="false" customHeight="true" outlineLevel="0" collapsed="false">
      <c r="C476" s="530" t="s">
        <v>984</v>
      </c>
      <c r="D476" s="531" t="s">
        <v>944</v>
      </c>
      <c r="E476" s="531" t="n">
        <v>0.54</v>
      </c>
      <c r="F476" s="531" t="n">
        <v>0.05</v>
      </c>
      <c r="G476" s="531" t="n">
        <v>0.13</v>
      </c>
      <c r="H476" s="534" t="s">
        <v>944</v>
      </c>
      <c r="I476" s="535" t="s">
        <v>944</v>
      </c>
      <c r="J476" s="329"/>
      <c r="K476" s="329"/>
      <c r="L476" s="329"/>
      <c r="M476" s="329"/>
      <c r="N476" s="329"/>
      <c r="O476" s="329"/>
      <c r="P476" s="329"/>
    </row>
    <row r="477" customFormat="false" ht="12.75" hidden="false" customHeight="true" outlineLevel="0" collapsed="false">
      <c r="C477" s="530" t="s">
        <v>985</v>
      </c>
      <c r="D477" s="531" t="s">
        <v>944</v>
      </c>
      <c r="E477" s="531" t="n">
        <v>0.58</v>
      </c>
      <c r="F477" s="531" t="n">
        <v>0.43</v>
      </c>
      <c r="G477" s="531" t="s">
        <v>944</v>
      </c>
      <c r="H477" s="534" t="s">
        <v>944</v>
      </c>
      <c r="I477" s="535" t="s">
        <v>944</v>
      </c>
      <c r="J477" s="329"/>
      <c r="K477" s="329"/>
      <c r="L477" s="329"/>
      <c r="M477" s="329"/>
      <c r="N477" s="329"/>
      <c r="O477" s="329"/>
      <c r="P477" s="329"/>
    </row>
    <row r="478" customFormat="false" ht="12.75" hidden="false" customHeight="true" outlineLevel="0" collapsed="false">
      <c r="C478" s="530" t="s">
        <v>986</v>
      </c>
      <c r="D478" s="531" t="s">
        <v>944</v>
      </c>
      <c r="E478" s="531" t="n">
        <v>0.02</v>
      </c>
      <c r="F478" s="531" t="n">
        <v>1.68</v>
      </c>
      <c r="G478" s="531" t="s">
        <v>944</v>
      </c>
      <c r="H478" s="532" t="s">
        <v>944</v>
      </c>
      <c r="I478" s="533" t="s">
        <v>944</v>
      </c>
      <c r="J478" s="329"/>
      <c r="K478" s="329"/>
      <c r="L478" s="329"/>
      <c r="M478" s="329"/>
      <c r="N478" s="329"/>
      <c r="O478" s="329"/>
      <c r="P478" s="329"/>
    </row>
    <row r="479" customFormat="false" ht="12.75" hidden="false" customHeight="true" outlineLevel="0" collapsed="false">
      <c r="C479" s="530" t="s">
        <v>987</v>
      </c>
      <c r="D479" s="531" t="n">
        <v>0.01</v>
      </c>
      <c r="E479" s="531" t="n">
        <v>0.02</v>
      </c>
      <c r="F479" s="531" t="n">
        <v>0.4</v>
      </c>
      <c r="G479" s="531" t="s">
        <v>944</v>
      </c>
      <c r="H479" s="532" t="s">
        <v>944</v>
      </c>
      <c r="I479" s="533" t="s">
        <v>944</v>
      </c>
      <c r="J479" s="329"/>
      <c r="K479" s="329"/>
      <c r="L479" s="329"/>
      <c r="M479" s="329"/>
      <c r="N479" s="329"/>
      <c r="O479" s="329"/>
      <c r="P479" s="329"/>
    </row>
    <row r="480" customFormat="false" ht="12.75" hidden="false" customHeight="true" outlineLevel="0" collapsed="false">
      <c r="C480" s="530" t="s">
        <v>988</v>
      </c>
      <c r="D480" s="531" t="n">
        <v>0.02</v>
      </c>
      <c r="E480" s="531" t="n">
        <v>0.02</v>
      </c>
      <c r="F480" s="531" t="n">
        <v>0.89</v>
      </c>
      <c r="G480" s="531" t="s">
        <v>944</v>
      </c>
      <c r="H480" s="532" t="s">
        <v>944</v>
      </c>
      <c r="I480" s="533" t="s">
        <v>944</v>
      </c>
      <c r="J480" s="329"/>
      <c r="K480" s="329"/>
      <c r="L480" s="329"/>
      <c r="M480" s="329"/>
      <c r="N480" s="329"/>
      <c r="O480" s="329"/>
      <c r="P480" s="329"/>
    </row>
    <row r="481" customFormat="false" ht="12.75" hidden="false" customHeight="true" outlineLevel="0" collapsed="false">
      <c r="C481" s="530" t="s">
        <v>989</v>
      </c>
      <c r="D481" s="531" t="n">
        <v>0.02</v>
      </c>
      <c r="E481" s="531" t="n">
        <v>0.02</v>
      </c>
      <c r="F481" s="531" t="n">
        <v>0.74</v>
      </c>
      <c r="G481" s="531" t="s">
        <v>944</v>
      </c>
      <c r="H481" s="532" t="s">
        <v>944</v>
      </c>
      <c r="I481" s="533" t="s">
        <v>944</v>
      </c>
      <c r="J481" s="329"/>
      <c r="K481" s="329"/>
      <c r="L481" s="329"/>
      <c r="M481" s="329"/>
      <c r="N481" s="329"/>
      <c r="O481" s="329"/>
      <c r="P481" s="329"/>
    </row>
    <row r="482" customFormat="false" ht="12.75" hidden="false" customHeight="true" outlineLevel="0" collapsed="false">
      <c r="C482" s="530" t="s">
        <v>990</v>
      </c>
      <c r="D482" s="531" t="s">
        <v>944</v>
      </c>
      <c r="E482" s="531" t="n">
        <v>0.02</v>
      </c>
      <c r="F482" s="531" t="n">
        <v>0.64</v>
      </c>
      <c r="G482" s="531" t="s">
        <v>944</v>
      </c>
      <c r="H482" s="532" t="s">
        <v>944</v>
      </c>
      <c r="I482" s="533" t="s">
        <v>944</v>
      </c>
      <c r="J482" s="329"/>
      <c r="K482" s="329"/>
      <c r="L482" s="329"/>
      <c r="M482" s="329"/>
      <c r="N482" s="329"/>
      <c r="O482" s="329"/>
      <c r="P482" s="329"/>
    </row>
    <row r="483" customFormat="false" ht="12.75" hidden="false" customHeight="true" outlineLevel="0" collapsed="false">
      <c r="C483" s="530" t="s">
        <v>991</v>
      </c>
      <c r="D483" s="531" t="n">
        <v>0.05</v>
      </c>
      <c r="E483" s="531" t="n">
        <v>0.02</v>
      </c>
      <c r="F483" s="531" t="n">
        <v>2.23</v>
      </c>
      <c r="G483" s="531" t="s">
        <v>944</v>
      </c>
      <c r="H483" s="532" t="s">
        <v>944</v>
      </c>
      <c r="I483" s="533" t="s">
        <v>944</v>
      </c>
      <c r="J483" s="329"/>
      <c r="K483" s="329"/>
      <c r="L483" s="329"/>
      <c r="M483" s="329"/>
      <c r="N483" s="329"/>
      <c r="O483" s="329"/>
      <c r="P483" s="329"/>
    </row>
    <row r="484" customFormat="false" ht="12.75" hidden="false" customHeight="true" outlineLevel="0" collapsed="false">
      <c r="C484" s="530" t="s">
        <v>992</v>
      </c>
      <c r="D484" s="531" t="n">
        <v>0.01</v>
      </c>
      <c r="E484" s="531" t="n">
        <v>0.02</v>
      </c>
      <c r="F484" s="531" t="n">
        <v>1.92</v>
      </c>
      <c r="G484" s="531" t="s">
        <v>944</v>
      </c>
      <c r="H484" s="532" t="s">
        <v>944</v>
      </c>
      <c r="I484" s="533" t="s">
        <v>944</v>
      </c>
      <c r="J484" s="329"/>
      <c r="K484" s="329"/>
      <c r="L484" s="329"/>
      <c r="M484" s="329"/>
      <c r="N484" s="329"/>
      <c r="O484" s="329"/>
      <c r="P484" s="329"/>
    </row>
    <row r="485" customFormat="false" ht="12.75" hidden="false" customHeight="true" outlineLevel="0" collapsed="false">
      <c r="C485" s="530" t="s">
        <v>993</v>
      </c>
      <c r="D485" s="531" t="n">
        <v>0.02</v>
      </c>
      <c r="E485" s="531" t="n">
        <v>0.02</v>
      </c>
      <c r="F485" s="531" t="n">
        <v>0.96</v>
      </c>
      <c r="G485" s="531" t="s">
        <v>944</v>
      </c>
      <c r="H485" s="532" t="s">
        <v>944</v>
      </c>
      <c r="I485" s="533" t="s">
        <v>944</v>
      </c>
      <c r="J485" s="329"/>
      <c r="K485" s="329"/>
      <c r="L485" s="329"/>
      <c r="M485" s="329"/>
      <c r="N485" s="329"/>
      <c r="O485" s="329"/>
      <c r="P485" s="329"/>
    </row>
    <row r="486" customFormat="false" ht="12.75" hidden="false" customHeight="true" outlineLevel="0" collapsed="false">
      <c r="C486" s="530" t="s">
        <v>994</v>
      </c>
      <c r="D486" s="531" t="s">
        <v>944</v>
      </c>
      <c r="E486" s="531" t="n">
        <v>0.02</v>
      </c>
      <c r="F486" s="531" t="s">
        <v>944</v>
      </c>
      <c r="G486" s="531" t="s">
        <v>944</v>
      </c>
      <c r="H486" s="532" t="s">
        <v>944</v>
      </c>
      <c r="I486" s="533" t="s">
        <v>944</v>
      </c>
      <c r="J486" s="329"/>
      <c r="K486" s="329"/>
      <c r="L486" s="329"/>
      <c r="M486" s="329"/>
      <c r="N486" s="329"/>
      <c r="O486" s="329"/>
      <c r="P486" s="329"/>
    </row>
    <row r="487" customFormat="false" ht="12.75" hidden="false" customHeight="true" outlineLevel="0" collapsed="false">
      <c r="C487" s="530" t="s">
        <v>995</v>
      </c>
      <c r="D487" s="531" t="n">
        <v>0.01</v>
      </c>
      <c r="E487" s="531" t="n">
        <v>0.02</v>
      </c>
      <c r="F487" s="531" t="s">
        <v>944</v>
      </c>
      <c r="G487" s="531" t="s">
        <v>944</v>
      </c>
      <c r="H487" s="532" t="s">
        <v>944</v>
      </c>
      <c r="I487" s="533" t="s">
        <v>944</v>
      </c>
      <c r="J487" s="329"/>
      <c r="K487" s="329"/>
      <c r="L487" s="329"/>
      <c r="M487" s="329"/>
      <c r="N487" s="329"/>
      <c r="O487" s="329"/>
      <c r="P487" s="329"/>
    </row>
    <row r="488" customFormat="false" ht="12.75" hidden="false" customHeight="true" outlineLevel="0" collapsed="false">
      <c r="C488" s="530" t="s">
        <v>996</v>
      </c>
      <c r="D488" s="531" t="n">
        <v>0.01</v>
      </c>
      <c r="E488" s="531" t="n">
        <v>0.02</v>
      </c>
      <c r="F488" s="531" t="s">
        <v>944</v>
      </c>
      <c r="G488" s="531" t="s">
        <v>944</v>
      </c>
      <c r="H488" s="532" t="s">
        <v>944</v>
      </c>
      <c r="I488" s="533" t="s">
        <v>944</v>
      </c>
      <c r="J488" s="329"/>
      <c r="K488" s="329"/>
      <c r="L488" s="329"/>
      <c r="M488" s="329"/>
      <c r="N488" s="329"/>
      <c r="O488" s="329"/>
      <c r="P488" s="329"/>
    </row>
    <row r="489" customFormat="false" ht="12.75" hidden="false" customHeight="true" outlineLevel="0" collapsed="false">
      <c r="C489" s="530" t="s">
        <v>678</v>
      </c>
      <c r="D489" s="531" t="n">
        <v>0.1</v>
      </c>
      <c r="E489" s="531" t="n">
        <v>0.02</v>
      </c>
      <c r="F489" s="531" t="n">
        <v>2.21</v>
      </c>
      <c r="G489" s="531" t="s">
        <v>944</v>
      </c>
      <c r="H489" s="532" t="s">
        <v>944</v>
      </c>
      <c r="I489" s="533" t="s">
        <v>944</v>
      </c>
      <c r="J489" s="329"/>
      <c r="K489" s="329"/>
      <c r="L489" s="329"/>
      <c r="M489" s="329"/>
      <c r="N489" s="329"/>
      <c r="O489" s="329"/>
      <c r="P489" s="329"/>
    </row>
    <row r="490" customFormat="false" ht="12.75" hidden="false" customHeight="true" outlineLevel="0" collapsed="false">
      <c r="C490" s="530" t="s">
        <v>997</v>
      </c>
      <c r="D490" s="536" t="n">
        <v>0.00352053849546667</v>
      </c>
      <c r="E490" s="531" t="n">
        <v>0.02</v>
      </c>
      <c r="F490" s="531" t="s">
        <v>944</v>
      </c>
      <c r="G490" s="531" t="s">
        <v>944</v>
      </c>
      <c r="H490" s="532" t="s">
        <v>944</v>
      </c>
      <c r="I490" s="533" t="s">
        <v>944</v>
      </c>
      <c r="J490" s="329"/>
      <c r="K490" s="329"/>
      <c r="L490" s="329"/>
      <c r="M490" s="329"/>
      <c r="N490" s="329"/>
      <c r="O490" s="329"/>
      <c r="P490" s="329"/>
    </row>
    <row r="491" customFormat="false" ht="12.75" hidden="false" customHeight="true" outlineLevel="0" collapsed="false">
      <c r="C491" s="530" t="s">
        <v>998</v>
      </c>
      <c r="D491" s="531" t="n">
        <v>0.03</v>
      </c>
      <c r="E491" s="531" t="n">
        <v>0.02</v>
      </c>
      <c r="F491" s="531" t="n">
        <v>0.7</v>
      </c>
      <c r="G491" s="531" t="s">
        <v>944</v>
      </c>
      <c r="H491" s="532" t="s">
        <v>944</v>
      </c>
      <c r="I491" s="533" t="s">
        <v>944</v>
      </c>
      <c r="J491" s="329"/>
      <c r="K491" s="329"/>
      <c r="L491" s="329"/>
      <c r="M491" s="329"/>
      <c r="N491" s="329"/>
      <c r="O491" s="329"/>
      <c r="P491" s="329"/>
    </row>
    <row r="492" customFormat="false" ht="12.75" hidden="false" customHeight="true" outlineLevel="0" collapsed="false">
      <c r="C492" s="530" t="s">
        <v>999</v>
      </c>
      <c r="D492" s="531" t="s">
        <v>944</v>
      </c>
      <c r="E492" s="531" t="n">
        <v>0.02</v>
      </c>
      <c r="F492" s="531" t="s">
        <v>944</v>
      </c>
      <c r="G492" s="531" t="s">
        <v>944</v>
      </c>
      <c r="H492" s="532" t="s">
        <v>944</v>
      </c>
      <c r="I492" s="533" t="s">
        <v>944</v>
      </c>
      <c r="J492" s="329"/>
      <c r="K492" s="329"/>
      <c r="L492" s="329"/>
      <c r="M492" s="329"/>
      <c r="N492" s="329"/>
      <c r="O492" s="329"/>
      <c r="P492" s="329"/>
    </row>
    <row r="493" customFormat="false" ht="12.75" hidden="false" customHeight="true" outlineLevel="0" collapsed="false">
      <c r="C493" s="530" t="s">
        <v>1000</v>
      </c>
      <c r="D493" s="531" t="n">
        <v>0.05</v>
      </c>
      <c r="E493" s="531" t="n">
        <v>0.02</v>
      </c>
      <c r="F493" s="531" t="s">
        <v>944</v>
      </c>
      <c r="G493" s="531" t="s">
        <v>944</v>
      </c>
      <c r="H493" s="532" t="s">
        <v>944</v>
      </c>
      <c r="I493" s="533" t="s">
        <v>944</v>
      </c>
      <c r="J493" s="329"/>
      <c r="K493" s="329"/>
      <c r="L493" s="329"/>
      <c r="M493" s="329"/>
      <c r="N493" s="329"/>
      <c r="O493" s="329"/>
      <c r="P493" s="329"/>
    </row>
    <row r="494" customFormat="false" ht="12.75" hidden="false" customHeight="true" outlineLevel="0" collapsed="false">
      <c r="C494" s="530" t="s">
        <v>1001</v>
      </c>
      <c r="D494" s="531" t="n">
        <v>0.04</v>
      </c>
      <c r="E494" s="531" t="n">
        <v>0.02</v>
      </c>
      <c r="F494" s="531" t="s">
        <v>944</v>
      </c>
      <c r="G494" s="531" t="s">
        <v>944</v>
      </c>
      <c r="H494" s="532" t="s">
        <v>944</v>
      </c>
      <c r="I494" s="533" t="s">
        <v>944</v>
      </c>
      <c r="J494" s="329"/>
      <c r="K494" s="329"/>
      <c r="L494" s="329"/>
      <c r="M494" s="329"/>
      <c r="N494" s="329"/>
      <c r="O494" s="329"/>
      <c r="P494" s="329"/>
    </row>
    <row r="495" customFormat="false" ht="12.75" hidden="false" customHeight="true" outlineLevel="0" collapsed="false">
      <c r="C495" s="530" t="s">
        <v>1002</v>
      </c>
      <c r="D495" s="531" t="s">
        <v>944</v>
      </c>
      <c r="E495" s="531" t="n">
        <v>0.02</v>
      </c>
      <c r="F495" s="531" t="n">
        <v>0.29</v>
      </c>
      <c r="G495" s="531" t="s">
        <v>944</v>
      </c>
      <c r="H495" s="532" t="s">
        <v>944</v>
      </c>
      <c r="I495" s="533" t="s">
        <v>944</v>
      </c>
      <c r="J495" s="329"/>
      <c r="K495" s="329"/>
      <c r="L495" s="329"/>
      <c r="M495" s="329"/>
      <c r="N495" s="329"/>
      <c r="O495" s="329"/>
      <c r="P495" s="329"/>
    </row>
    <row r="496" customFormat="false" ht="13.5" hidden="false" customHeight="true" outlineLevel="0" collapsed="false">
      <c r="C496" s="537" t="s">
        <v>1003</v>
      </c>
      <c r="D496" s="538" t="s">
        <v>944</v>
      </c>
      <c r="E496" s="538" t="n">
        <v>0.18</v>
      </c>
      <c r="F496" s="538" t="n">
        <v>0.08</v>
      </c>
      <c r="G496" s="538" t="s">
        <v>944</v>
      </c>
      <c r="H496" s="539" t="s">
        <v>944</v>
      </c>
      <c r="I496" s="540" t="s">
        <v>944</v>
      </c>
      <c r="J496" s="329"/>
      <c r="K496" s="329"/>
      <c r="L496" s="329"/>
      <c r="M496" s="329"/>
      <c r="N496" s="329"/>
      <c r="O496" s="329"/>
      <c r="P496" s="329"/>
    </row>
    <row r="497" customFormat="false" ht="12.75" hidden="false" customHeight="true" outlineLevel="0" collapsed="false">
      <c r="C497" s="491" t="s">
        <v>1004</v>
      </c>
      <c r="D497" s="491"/>
      <c r="E497" s="491"/>
      <c r="F497" s="491"/>
      <c r="G497" s="491"/>
      <c r="H497" s="491"/>
      <c r="I497" s="491"/>
      <c r="J497" s="491"/>
      <c r="K497" s="491"/>
      <c r="L497" s="491"/>
    </row>
    <row r="498" customFormat="false" ht="28.5" hidden="false" customHeight="true" outlineLevel="0" collapsed="false">
      <c r="C498" s="541" t="s">
        <v>1005</v>
      </c>
      <c r="D498" s="541"/>
      <c r="E498" s="541"/>
      <c r="F498" s="541"/>
      <c r="G498" s="541"/>
      <c r="H498" s="541"/>
      <c r="I498" s="541"/>
      <c r="J498" s="541"/>
      <c r="K498" s="541"/>
      <c r="L498" s="541"/>
    </row>
    <row r="499" customFormat="false" ht="160.5" hidden="false" customHeight="true" outlineLevel="0" collapsed="false">
      <c r="B499" s="298"/>
      <c r="C499" s="286" t="s">
        <v>1006</v>
      </c>
      <c r="D499" s="286"/>
      <c r="E499" s="286"/>
      <c r="F499" s="286"/>
      <c r="G499" s="286"/>
      <c r="H499" s="286"/>
      <c r="I499" s="286"/>
      <c r="J499" s="286"/>
      <c r="K499" s="286"/>
      <c r="L499" s="286"/>
    </row>
    <row r="501" customFormat="false" ht="15" hidden="false" customHeight="true" outlineLevel="0" collapsed="false">
      <c r="B501" s="383" t="s">
        <v>1007</v>
      </c>
      <c r="C501" s="542" t="s">
        <v>1008</v>
      </c>
      <c r="D501" s="543"/>
      <c r="E501" s="543"/>
      <c r="F501" s="543"/>
      <c r="G501" s="543"/>
      <c r="H501" s="385"/>
      <c r="I501" s="385"/>
      <c r="J501" s="385"/>
      <c r="K501" s="385"/>
      <c r="L501" s="386"/>
    </row>
    <row r="502" s="287" customFormat="true" ht="25.5" hidden="false" customHeight="true" outlineLevel="0" collapsed="false">
      <c r="B502" s="544"/>
      <c r="C502" s="545" t="s">
        <v>1009</v>
      </c>
      <c r="D502" s="545"/>
      <c r="E502" s="545"/>
      <c r="F502" s="545"/>
      <c r="G502" s="545"/>
      <c r="H502" s="545"/>
      <c r="I502" s="545"/>
      <c r="J502" s="545"/>
      <c r="K502" s="545"/>
    </row>
    <row r="503" customFormat="false" ht="31.5" hidden="false" customHeight="true" outlineLevel="0" collapsed="false">
      <c r="C503" s="432" t="s">
        <v>763</v>
      </c>
      <c r="D503" s="367" t="s">
        <v>918</v>
      </c>
      <c r="E503" s="367" t="s">
        <v>919</v>
      </c>
      <c r="F503" s="367" t="s">
        <v>920</v>
      </c>
      <c r="G503" s="368" t="s">
        <v>921</v>
      </c>
      <c r="H503" s="271"/>
      <c r="I503" s="311"/>
    </row>
    <row r="504" customFormat="false" ht="15" hidden="false" customHeight="true" outlineLevel="0" collapsed="false">
      <c r="C504" s="546" t="s">
        <v>924</v>
      </c>
      <c r="D504" s="547" t="n">
        <v>0.297</v>
      </c>
      <c r="E504" s="548" t="n">
        <v>0.0059</v>
      </c>
      <c r="F504" s="548" t="n">
        <v>0.0053</v>
      </c>
      <c r="G504" s="506" t="s">
        <v>923</v>
      </c>
      <c r="H504" s="311"/>
      <c r="I504" s="549"/>
      <c r="J504" s="549"/>
    </row>
    <row r="505" customFormat="false" ht="15" hidden="false" customHeight="true" outlineLevel="0" collapsed="false">
      <c r="C505" s="339" t="s">
        <v>925</v>
      </c>
      <c r="D505" s="550" t="n">
        <v>0.394</v>
      </c>
      <c r="E505" s="551" t="n">
        <v>0.0109</v>
      </c>
      <c r="F505" s="551" t="n">
        <v>0.0088</v>
      </c>
      <c r="G505" s="516" t="s">
        <v>923</v>
      </c>
      <c r="H505" s="311"/>
      <c r="I505" s="549"/>
      <c r="J505" s="549"/>
    </row>
    <row r="506" customFormat="false" ht="15" hidden="false" customHeight="true" outlineLevel="0" collapsed="false">
      <c r="C506" s="378" t="s">
        <v>1010</v>
      </c>
      <c r="D506" s="552" t="n">
        <v>0.368</v>
      </c>
      <c r="E506" s="553" t="n">
        <v>0.0888</v>
      </c>
      <c r="F506" s="553" t="n">
        <v>0.0188</v>
      </c>
      <c r="G506" s="515" t="s">
        <v>923</v>
      </c>
      <c r="H506" s="311"/>
      <c r="I506" s="549"/>
      <c r="J506" s="549"/>
    </row>
    <row r="507" customFormat="false" ht="15" hidden="false" customHeight="true" outlineLevel="0" collapsed="false">
      <c r="C507" s="554" t="s">
        <v>1011</v>
      </c>
      <c r="D507" s="555" t="n">
        <v>0.023</v>
      </c>
      <c r="E507" s="556" t="n">
        <v>0.001</v>
      </c>
      <c r="F507" s="556" t="n">
        <v>0.0001</v>
      </c>
      <c r="G507" s="512" t="s">
        <v>1012</v>
      </c>
      <c r="H507" s="311"/>
      <c r="I507" s="549"/>
      <c r="J507" s="549"/>
      <c r="K507" s="557"/>
    </row>
    <row r="508" customFormat="false" ht="15" hidden="false" customHeight="true" outlineLevel="0" collapsed="false">
      <c r="C508" s="558" t="s">
        <v>1013</v>
      </c>
      <c r="D508" s="550" t="n">
        <v>0.149</v>
      </c>
      <c r="E508" s="551" t="n">
        <v>0.012</v>
      </c>
      <c r="F508" s="551" t="n">
        <v>0.004</v>
      </c>
      <c r="G508" s="512" t="s">
        <v>1012</v>
      </c>
      <c r="H508" s="311"/>
      <c r="I508" s="549"/>
      <c r="J508" s="549"/>
      <c r="K508" s="557"/>
    </row>
    <row r="509" customFormat="false" ht="15" hidden="false" customHeight="true" outlineLevel="0" collapsed="false">
      <c r="C509" s="558" t="s">
        <v>1014</v>
      </c>
      <c r="D509" s="550" t="n">
        <v>0.096</v>
      </c>
      <c r="E509" s="551" t="n">
        <v>0.008</v>
      </c>
      <c r="F509" s="551" t="n">
        <v>0.002</v>
      </c>
      <c r="G509" s="512" t="s">
        <v>1012</v>
      </c>
      <c r="H509" s="311"/>
      <c r="I509" s="549"/>
      <c r="J509" s="549"/>
      <c r="K509" s="557"/>
    </row>
    <row r="510" customFormat="false" ht="15" hidden="false" customHeight="true" outlineLevel="0" collapsed="false">
      <c r="C510" s="559" t="s">
        <v>1015</v>
      </c>
      <c r="D510" s="560" t="n">
        <v>0.133</v>
      </c>
      <c r="E510" s="561" t="n">
        <v>0.0105</v>
      </c>
      <c r="F510" s="561" t="n">
        <v>0.0026</v>
      </c>
      <c r="G510" s="516" t="s">
        <v>1012</v>
      </c>
      <c r="H510" s="311"/>
      <c r="I510" s="549"/>
      <c r="J510" s="549"/>
      <c r="K510" s="557"/>
    </row>
    <row r="511" customFormat="false" ht="15" hidden="false" customHeight="true" outlineLevel="0" collapsed="false">
      <c r="C511" s="562" t="s">
        <v>1016</v>
      </c>
      <c r="D511" s="497" t="n">
        <v>0.093</v>
      </c>
      <c r="E511" s="563" t="n">
        <v>0.0075</v>
      </c>
      <c r="F511" s="563" t="n">
        <v>0.001</v>
      </c>
      <c r="G511" s="515" t="s">
        <v>1012</v>
      </c>
      <c r="H511" s="311"/>
      <c r="I511" s="549"/>
      <c r="J511" s="549"/>
      <c r="K511" s="557"/>
    </row>
    <row r="512" customFormat="false" ht="15" hidden="false" customHeight="true" outlineLevel="0" collapsed="false">
      <c r="C512" s="564" t="s">
        <v>1017</v>
      </c>
      <c r="D512" s="565" t="n">
        <v>0.066</v>
      </c>
      <c r="E512" s="566" t="n">
        <v>0.0046</v>
      </c>
      <c r="F512" s="566" t="n">
        <v>0.0019</v>
      </c>
      <c r="G512" s="512" t="s">
        <v>1012</v>
      </c>
      <c r="H512" s="311"/>
      <c r="I512" s="549"/>
      <c r="J512" s="549"/>
    </row>
    <row r="513" customFormat="false" ht="15" hidden="false" customHeight="true" outlineLevel="0" collapsed="false">
      <c r="B513" s="285"/>
      <c r="C513" s="339" t="s">
        <v>1018</v>
      </c>
      <c r="D513" s="567" t="n">
        <v>0.207</v>
      </c>
      <c r="E513" s="568" t="n">
        <v>0.0064</v>
      </c>
      <c r="F513" s="569" t="n">
        <v>0.0066</v>
      </c>
      <c r="G513" s="516" t="s">
        <v>1012</v>
      </c>
      <c r="H513" s="311"/>
      <c r="I513" s="549"/>
      <c r="J513" s="549"/>
    </row>
    <row r="514" customFormat="false" ht="25.5" hidden="false" customHeight="true" outlineLevel="0" collapsed="false">
      <c r="B514" s="285"/>
      <c r="C514" s="570" t="s">
        <v>1019</v>
      </c>
      <c r="D514" s="571" t="n">
        <v>0.129</v>
      </c>
      <c r="E514" s="569" t="n">
        <v>0.0006</v>
      </c>
      <c r="F514" s="569" t="n">
        <v>0.0041</v>
      </c>
      <c r="G514" s="516" t="s">
        <v>1012</v>
      </c>
      <c r="H514" s="311"/>
      <c r="I514" s="549"/>
      <c r="J514" s="549"/>
    </row>
    <row r="515" customFormat="false" ht="25.5" hidden="false" customHeight="true" outlineLevel="0" collapsed="false">
      <c r="B515" s="285"/>
      <c r="C515" s="572" t="s">
        <v>1020</v>
      </c>
      <c r="D515" s="497" t="n">
        <v>0.163</v>
      </c>
      <c r="E515" s="573" t="n">
        <v>0.0006</v>
      </c>
      <c r="F515" s="563" t="n">
        <v>0.0052</v>
      </c>
      <c r="G515" s="515" t="s">
        <v>1012</v>
      </c>
      <c r="H515" s="311"/>
      <c r="I515" s="549"/>
      <c r="J515" s="549"/>
    </row>
    <row r="516" customFormat="false" ht="120" hidden="false" customHeight="true" outlineLevel="0" collapsed="false">
      <c r="B516" s="285"/>
      <c r="C516" s="286" t="s">
        <v>1021</v>
      </c>
      <c r="D516" s="286"/>
      <c r="E516" s="286"/>
      <c r="F516" s="286"/>
      <c r="G516" s="286"/>
      <c r="H516" s="286"/>
      <c r="I516" s="286"/>
      <c r="J516" s="286"/>
      <c r="K516" s="286"/>
      <c r="L516" s="286"/>
    </row>
    <row r="517" customFormat="false" ht="112.5" hidden="false" customHeight="true" outlineLevel="0" collapsed="false">
      <c r="C517" s="286" t="s">
        <v>1022</v>
      </c>
      <c r="D517" s="286"/>
      <c r="E517" s="286"/>
      <c r="F517" s="286"/>
      <c r="G517" s="286"/>
      <c r="H517" s="286"/>
      <c r="I517" s="286"/>
      <c r="J517" s="286"/>
      <c r="K517" s="286"/>
      <c r="L517" s="286"/>
    </row>
    <row r="518" customFormat="false" ht="12.75" hidden="false" customHeight="true" outlineLevel="0" collapsed="false">
      <c r="C518" s="363"/>
      <c r="D518" s="382"/>
      <c r="E518" s="382"/>
      <c r="F518" s="382"/>
      <c r="G518" s="382"/>
      <c r="H518" s="382"/>
      <c r="I518" s="382"/>
      <c r="J518" s="382"/>
      <c r="K518" s="382"/>
    </row>
    <row r="519" customFormat="false" ht="15" hidden="false" customHeight="true" outlineLevel="0" collapsed="false">
      <c r="B519" s="383" t="s">
        <v>1023</v>
      </c>
      <c r="C519" s="383"/>
      <c r="D519" s="383"/>
      <c r="E519" s="383"/>
      <c r="F519" s="383"/>
      <c r="G519" s="383"/>
      <c r="H519" s="383"/>
      <c r="I519" s="383"/>
      <c r="J519" s="383"/>
      <c r="K519" s="383"/>
      <c r="L519" s="383"/>
    </row>
    <row r="521" customFormat="false" ht="15" hidden="false" customHeight="true" outlineLevel="0" collapsed="false">
      <c r="B521" s="383" t="s">
        <v>1024</v>
      </c>
      <c r="C521" s="384" t="s">
        <v>1025</v>
      </c>
      <c r="D521" s="385"/>
      <c r="E521" s="385"/>
      <c r="F521" s="385"/>
      <c r="G521" s="385"/>
      <c r="H521" s="385"/>
      <c r="I521" s="385"/>
      <c r="J521" s="385"/>
      <c r="K521" s="385"/>
      <c r="L521" s="386"/>
    </row>
    <row r="522" s="268" customFormat="true" ht="13.5" hidden="false" customHeight="true" outlineLevel="0" collapsed="false"/>
    <row r="523" s="268" customFormat="true" ht="27" hidden="false" customHeight="true" outlineLevel="0" collapsed="false">
      <c r="C523" s="574" t="s">
        <v>1026</v>
      </c>
      <c r="D523" s="367" t="s">
        <v>1027</v>
      </c>
      <c r="E523" s="575" t="s">
        <v>648</v>
      </c>
      <c r="F523" s="271"/>
      <c r="H523" s="271"/>
    </row>
    <row r="524" s="268" customFormat="true" ht="15.75" hidden="false" customHeight="true" outlineLevel="0" collapsed="false">
      <c r="C524" s="546" t="s">
        <v>1028</v>
      </c>
      <c r="D524" s="576" t="s">
        <v>1029</v>
      </c>
      <c r="E524" s="577" t="n">
        <v>1</v>
      </c>
      <c r="F524" s="271"/>
      <c r="G524" s="271"/>
    </row>
    <row r="525" s="268" customFormat="true" ht="15.75" hidden="false" customHeight="true" outlineLevel="0" collapsed="false">
      <c r="C525" s="339" t="s">
        <v>1030</v>
      </c>
      <c r="D525" s="578" t="s">
        <v>649</v>
      </c>
      <c r="E525" s="579" t="n">
        <v>28</v>
      </c>
    </row>
    <row r="526" s="268" customFormat="true" ht="15.75" hidden="false" customHeight="true" outlineLevel="0" collapsed="false">
      <c r="C526" s="339" t="s">
        <v>1031</v>
      </c>
      <c r="D526" s="578" t="s">
        <v>650</v>
      </c>
      <c r="E526" s="579" t="n">
        <v>265</v>
      </c>
    </row>
    <row r="527" s="268" customFormat="true" ht="15.75" hidden="false" customHeight="true" outlineLevel="0" collapsed="false">
      <c r="C527" s="339" t="s">
        <v>1032</v>
      </c>
      <c r="D527" s="578" t="s">
        <v>1033</v>
      </c>
      <c r="E527" s="579" t="n">
        <v>12400</v>
      </c>
    </row>
    <row r="528" s="268" customFormat="true" ht="15.75" hidden="false" customHeight="true" outlineLevel="0" collapsed="false">
      <c r="C528" s="339" t="s">
        <v>1034</v>
      </c>
      <c r="D528" s="578" t="s">
        <v>1035</v>
      </c>
      <c r="E528" s="579" t="n">
        <v>677</v>
      </c>
    </row>
    <row r="529" s="268" customFormat="true" ht="15.75" hidden="false" customHeight="true" outlineLevel="0" collapsed="false">
      <c r="C529" s="339" t="s">
        <v>1036</v>
      </c>
      <c r="D529" s="578" t="s">
        <v>1037</v>
      </c>
      <c r="E529" s="579" t="n">
        <v>116</v>
      </c>
    </row>
    <row r="530" s="268" customFormat="true" ht="15.75" hidden="false" customHeight="true" outlineLevel="0" collapsed="false">
      <c r="C530" s="339" t="s">
        <v>1038</v>
      </c>
      <c r="D530" s="578" t="s">
        <v>1039</v>
      </c>
      <c r="E530" s="579" t="n">
        <v>3170</v>
      </c>
      <c r="H530" s="580"/>
      <c r="I530" s="580"/>
      <c r="J530" s="580"/>
      <c r="K530" s="580"/>
      <c r="L530" s="580"/>
      <c r="M530" s="580"/>
      <c r="N530" s="580"/>
    </row>
    <row r="531" s="268" customFormat="true" ht="15.75" hidden="false" customHeight="true" outlineLevel="0" collapsed="false">
      <c r="C531" s="339" t="s">
        <v>1040</v>
      </c>
      <c r="D531" s="578" t="s">
        <v>1041</v>
      </c>
      <c r="E531" s="579" t="n">
        <v>1120</v>
      </c>
      <c r="H531" s="580"/>
      <c r="I531" s="580"/>
      <c r="J531" s="580"/>
      <c r="K531" s="580"/>
      <c r="L531" s="580"/>
      <c r="M531" s="580"/>
      <c r="N531" s="580"/>
    </row>
    <row r="532" s="268" customFormat="true" ht="15.75" hidden="false" customHeight="true" outlineLevel="0" collapsed="false">
      <c r="C532" s="339" t="s">
        <v>594</v>
      </c>
      <c r="D532" s="578" t="s">
        <v>1042</v>
      </c>
      <c r="E532" s="579" t="n">
        <v>1300</v>
      </c>
    </row>
    <row r="533" s="268" customFormat="true" ht="15.75" hidden="false" customHeight="true" outlineLevel="0" collapsed="false">
      <c r="C533" s="339" t="s">
        <v>1043</v>
      </c>
      <c r="D533" s="578" t="s">
        <v>1044</v>
      </c>
      <c r="E533" s="579" t="n">
        <v>328</v>
      </c>
    </row>
    <row r="534" s="268" customFormat="true" ht="15.75" hidden="false" customHeight="true" outlineLevel="0" collapsed="false">
      <c r="C534" s="339" t="s">
        <v>1045</v>
      </c>
      <c r="D534" s="578" t="s">
        <v>1046</v>
      </c>
      <c r="E534" s="579" t="n">
        <v>4800</v>
      </c>
    </row>
    <row r="535" s="268" customFormat="true" ht="15.75" hidden="false" customHeight="true" outlineLevel="0" collapsed="false">
      <c r="C535" s="339" t="s">
        <v>1047</v>
      </c>
      <c r="D535" s="578" t="s">
        <v>1048</v>
      </c>
      <c r="E535" s="579" t="n">
        <v>16</v>
      </c>
    </row>
    <row r="536" s="268" customFormat="true" ht="15.75" hidden="false" customHeight="true" outlineLevel="0" collapsed="false">
      <c r="C536" s="339" t="s">
        <v>1049</v>
      </c>
      <c r="D536" s="578" t="s">
        <v>1050</v>
      </c>
      <c r="E536" s="579" t="n">
        <v>138</v>
      </c>
    </row>
    <row r="537" s="268" customFormat="true" ht="15.75" hidden="false" customHeight="true" outlineLevel="0" collapsed="false">
      <c r="C537" s="339" t="s">
        <v>1051</v>
      </c>
      <c r="D537" s="578" t="s">
        <v>1052</v>
      </c>
      <c r="E537" s="579" t="n">
        <v>4</v>
      </c>
    </row>
    <row r="538" s="268" customFormat="true" ht="15.75" hidden="false" customHeight="true" outlineLevel="0" collapsed="false">
      <c r="C538" s="339" t="s">
        <v>1053</v>
      </c>
      <c r="D538" s="578" t="s">
        <v>1054</v>
      </c>
      <c r="E538" s="579" t="n">
        <v>3350</v>
      </c>
      <c r="H538" s="580"/>
      <c r="I538" s="580"/>
      <c r="J538" s="580"/>
      <c r="K538" s="580"/>
      <c r="L538" s="580"/>
      <c r="M538" s="580"/>
      <c r="N538" s="580"/>
    </row>
    <row r="539" s="268" customFormat="true" ht="15.75" hidden="false" customHeight="true" outlineLevel="0" collapsed="false">
      <c r="C539" s="339" t="s">
        <v>1055</v>
      </c>
      <c r="D539" s="578" t="s">
        <v>1056</v>
      </c>
      <c r="E539" s="579" t="n">
        <v>1210</v>
      </c>
      <c r="H539" s="580"/>
      <c r="I539" s="580"/>
      <c r="J539" s="580"/>
      <c r="K539" s="580"/>
      <c r="L539" s="580"/>
      <c r="M539" s="580"/>
      <c r="N539" s="580"/>
    </row>
    <row r="540" s="268" customFormat="true" ht="15.75" hidden="false" customHeight="true" outlineLevel="0" collapsed="false">
      <c r="C540" s="339" t="s">
        <v>1057</v>
      </c>
      <c r="D540" s="578" t="s">
        <v>1058</v>
      </c>
      <c r="E540" s="579" t="n">
        <v>1330</v>
      </c>
    </row>
    <row r="541" s="268" customFormat="true" ht="15.75" hidden="false" customHeight="true" outlineLevel="0" collapsed="false">
      <c r="C541" s="339" t="s">
        <v>1059</v>
      </c>
      <c r="D541" s="578" t="s">
        <v>1060</v>
      </c>
      <c r="E541" s="579" t="n">
        <v>8060</v>
      </c>
    </row>
    <row r="542" s="268" customFormat="true" ht="15.75" hidden="false" customHeight="true" outlineLevel="0" collapsed="false">
      <c r="C542" s="339" t="s">
        <v>1061</v>
      </c>
      <c r="D542" s="578" t="s">
        <v>1062</v>
      </c>
      <c r="E542" s="579" t="n">
        <v>716</v>
      </c>
    </row>
    <row r="543" s="268" customFormat="true" ht="15.75" hidden="false" customHeight="true" outlineLevel="0" collapsed="false">
      <c r="C543" s="339" t="s">
        <v>1063</v>
      </c>
      <c r="D543" s="578" t="s">
        <v>1064</v>
      </c>
      <c r="E543" s="579" t="n">
        <v>858</v>
      </c>
    </row>
    <row r="544" s="268" customFormat="true" ht="15.75" hidden="false" customHeight="true" outlineLevel="0" collapsed="false">
      <c r="C544" s="339" t="s">
        <v>1065</v>
      </c>
      <c r="D544" s="578" t="s">
        <v>1066</v>
      </c>
      <c r="E544" s="579" t="n">
        <v>804</v>
      </c>
    </row>
    <row r="545" s="268" customFormat="true" ht="15.75" hidden="false" customHeight="true" outlineLevel="0" collapsed="false">
      <c r="C545" s="339" t="s">
        <v>1067</v>
      </c>
      <c r="D545" s="578" t="s">
        <v>1068</v>
      </c>
      <c r="E545" s="579" t="n">
        <v>1650</v>
      </c>
    </row>
    <row r="546" s="268" customFormat="true" ht="15.75" hidden="false" customHeight="true" outlineLevel="0" collapsed="false">
      <c r="C546" s="339" t="s">
        <v>1069</v>
      </c>
      <c r="D546" s="578" t="s">
        <v>1070</v>
      </c>
      <c r="E546" s="579" t="n">
        <v>23500</v>
      </c>
    </row>
    <row r="547" s="268" customFormat="true" ht="15.75" hidden="false" customHeight="true" outlineLevel="0" collapsed="false">
      <c r="C547" s="339" t="s">
        <v>1071</v>
      </c>
      <c r="D547" s="578" t="s">
        <v>1072</v>
      </c>
      <c r="E547" s="579" t="n">
        <v>16100</v>
      </c>
    </row>
    <row r="548" s="268" customFormat="true" ht="15.75" hidden="false" customHeight="true" outlineLevel="0" collapsed="false">
      <c r="C548" s="339" t="s">
        <v>1073</v>
      </c>
      <c r="D548" s="578" t="s">
        <v>1074</v>
      </c>
      <c r="E548" s="579" t="n">
        <v>6630</v>
      </c>
      <c r="F548" s="271"/>
    </row>
    <row r="549" s="268" customFormat="true" ht="15.75" hidden="false" customHeight="true" outlineLevel="0" collapsed="false">
      <c r="C549" s="339" t="s">
        <v>1075</v>
      </c>
      <c r="D549" s="578" t="s">
        <v>1076</v>
      </c>
      <c r="E549" s="579" t="n">
        <v>11100</v>
      </c>
    </row>
    <row r="550" s="268" customFormat="true" ht="15.75" hidden="false" customHeight="true" outlineLevel="0" collapsed="false">
      <c r="C550" s="339" t="s">
        <v>1077</v>
      </c>
      <c r="D550" s="578" t="s">
        <v>1078</v>
      </c>
      <c r="E550" s="579" t="n">
        <v>8900</v>
      </c>
    </row>
    <row r="551" s="268" customFormat="true" ht="15.75" hidden="false" customHeight="true" outlineLevel="0" collapsed="false">
      <c r="C551" s="339" t="s">
        <v>1079</v>
      </c>
      <c r="D551" s="578" t="s">
        <v>1080</v>
      </c>
      <c r="E551" s="579" t="n">
        <v>9540</v>
      </c>
    </row>
    <row r="552" s="268" customFormat="true" ht="15.75" hidden="false" customHeight="true" outlineLevel="0" collapsed="false">
      <c r="C552" s="339" t="s">
        <v>1081</v>
      </c>
      <c r="D552" s="578" t="s">
        <v>1082</v>
      </c>
      <c r="E552" s="579" t="n">
        <v>9200</v>
      </c>
    </row>
    <row r="553" s="268" customFormat="true" ht="15.75" hidden="false" customHeight="true" outlineLevel="0" collapsed="false">
      <c r="C553" s="339" t="s">
        <v>1083</v>
      </c>
      <c r="D553" s="578" t="s">
        <v>1084</v>
      </c>
      <c r="E553" s="579" t="n">
        <v>8550</v>
      </c>
      <c r="O553" s="282"/>
    </row>
    <row r="554" s="268" customFormat="true" ht="15.75" hidden="false" customHeight="true" outlineLevel="0" collapsed="false">
      <c r="C554" s="339" t="s">
        <v>1085</v>
      </c>
      <c r="D554" s="578" t="s">
        <v>1086</v>
      </c>
      <c r="E554" s="579" t="n">
        <v>7910</v>
      </c>
    </row>
    <row r="555" s="268" customFormat="true" ht="15.75" hidden="false" customHeight="true" outlineLevel="0" collapsed="false">
      <c r="C555" s="378" t="s">
        <v>1087</v>
      </c>
      <c r="D555" s="581" t="s">
        <v>1088</v>
      </c>
      <c r="E555" s="582" t="n">
        <v>7190</v>
      </c>
      <c r="O555" s="282"/>
    </row>
    <row r="556" s="268" customFormat="true" ht="48" hidden="false" customHeight="true" outlineLevel="0" collapsed="false">
      <c r="C556" s="286" t="s">
        <v>1089</v>
      </c>
      <c r="D556" s="286"/>
      <c r="E556" s="286"/>
      <c r="F556" s="286"/>
      <c r="G556" s="286"/>
      <c r="H556" s="286"/>
      <c r="I556" s="286"/>
      <c r="J556" s="286"/>
      <c r="K556" s="286"/>
      <c r="L556" s="286"/>
    </row>
    <row r="557" s="268" customFormat="true" ht="12.75" hidden="false" customHeight="true" outlineLevel="0" collapsed="false"/>
    <row r="558" customFormat="false" ht="15" hidden="false" customHeight="true" outlineLevel="0" collapsed="false">
      <c r="B558" s="383" t="s">
        <v>1090</v>
      </c>
      <c r="C558" s="384" t="s">
        <v>1091</v>
      </c>
      <c r="D558" s="385"/>
      <c r="E558" s="385"/>
      <c r="F558" s="385"/>
      <c r="G558" s="385"/>
      <c r="H558" s="385"/>
      <c r="I558" s="385"/>
      <c r="J558" s="385"/>
      <c r="K558" s="385"/>
      <c r="L558" s="386"/>
    </row>
    <row r="559" customFormat="false" ht="15.75" hidden="false" customHeight="true" outlineLevel="0" collapsed="false">
      <c r="B559" s="501"/>
      <c r="C559" s="583"/>
      <c r="I559" s="271"/>
    </row>
    <row r="560" s="268" customFormat="true" ht="13.5" hidden="false" customHeight="true" outlineLevel="0" collapsed="false">
      <c r="C560" s="584" t="s">
        <v>1092</v>
      </c>
      <c r="D560" s="585" t="s">
        <v>1093</v>
      </c>
      <c r="E560" s="586" t="s">
        <v>1094</v>
      </c>
      <c r="F560" s="587"/>
      <c r="G560" s="587"/>
      <c r="H560" s="588"/>
      <c r="I560" s="271"/>
    </row>
    <row r="561" s="268" customFormat="true" ht="12.75" hidden="false" customHeight="true" outlineLevel="0" collapsed="false">
      <c r="C561" s="503" t="s">
        <v>1095</v>
      </c>
      <c r="D561" s="589" t="n">
        <v>18</v>
      </c>
      <c r="E561" s="590" t="s">
        <v>1096</v>
      </c>
      <c r="F561" s="591"/>
      <c r="G561" s="591"/>
      <c r="H561" s="592"/>
      <c r="I561" s="593"/>
    </row>
    <row r="562" s="268" customFormat="true" ht="12.75" hidden="false" customHeight="true" outlineLevel="0" collapsed="false">
      <c r="C562" s="306" t="s">
        <v>1097</v>
      </c>
      <c r="D562" s="594" t="n">
        <v>15</v>
      </c>
      <c r="E562" s="595" t="s">
        <v>1098</v>
      </c>
      <c r="F562" s="596"/>
      <c r="G562" s="596"/>
      <c r="H562" s="597"/>
      <c r="I562" s="323"/>
    </row>
    <row r="563" s="268" customFormat="true" ht="12.75" hidden="false" customHeight="true" outlineLevel="0" collapsed="false">
      <c r="C563" s="306" t="s">
        <v>1099</v>
      </c>
      <c r="D563" s="594" t="n">
        <v>21</v>
      </c>
      <c r="E563" s="595" t="s">
        <v>1100</v>
      </c>
      <c r="F563" s="596"/>
      <c r="G563" s="596"/>
      <c r="H563" s="597"/>
      <c r="I563" s="323"/>
    </row>
    <row r="564" s="268" customFormat="true" ht="12.75" hidden="false" customHeight="true" outlineLevel="0" collapsed="false">
      <c r="C564" s="306" t="s">
        <v>1101</v>
      </c>
      <c r="D564" s="594" t="n">
        <v>1902</v>
      </c>
      <c r="E564" s="595" t="s">
        <v>1102</v>
      </c>
      <c r="F564" s="596"/>
      <c r="G564" s="596"/>
      <c r="H564" s="597"/>
      <c r="I564" s="323"/>
    </row>
    <row r="565" s="268" customFormat="true" ht="12.75" hidden="false" customHeight="true" outlineLevel="0" collapsed="false">
      <c r="C565" s="306" t="s">
        <v>1103</v>
      </c>
      <c r="D565" s="594" t="n">
        <v>1205</v>
      </c>
      <c r="E565" s="595" t="s">
        <v>1104</v>
      </c>
      <c r="F565" s="596"/>
      <c r="G565" s="596"/>
      <c r="H565" s="597"/>
      <c r="I565" s="323"/>
    </row>
    <row r="566" s="268" customFormat="true" ht="12.75" hidden="false" customHeight="true" outlineLevel="0" collapsed="false">
      <c r="C566" s="306" t="s">
        <v>1105</v>
      </c>
      <c r="D566" s="594" t="n">
        <v>3471</v>
      </c>
      <c r="E566" s="595" t="s">
        <v>1106</v>
      </c>
      <c r="F566" s="596"/>
      <c r="G566" s="596"/>
      <c r="H566" s="597"/>
      <c r="I566" s="323"/>
    </row>
    <row r="567" s="268" customFormat="true" ht="12.75" hidden="false" customHeight="true" outlineLevel="0" collapsed="false">
      <c r="C567" s="306" t="s">
        <v>1107</v>
      </c>
      <c r="D567" s="594" t="n">
        <v>3943</v>
      </c>
      <c r="E567" s="595" t="s">
        <v>1108</v>
      </c>
      <c r="F567" s="596"/>
      <c r="G567" s="596"/>
      <c r="H567" s="597"/>
      <c r="I567" s="323"/>
    </row>
    <row r="568" s="268" customFormat="true" ht="12.75" hidden="false" customHeight="true" outlineLevel="0" collapsed="false">
      <c r="C568" s="306" t="s">
        <v>1109</v>
      </c>
      <c r="D568" s="594" t="n">
        <v>0</v>
      </c>
      <c r="E568" s="595" t="s">
        <v>1110</v>
      </c>
      <c r="F568" s="596"/>
      <c r="G568" s="596"/>
      <c r="H568" s="597"/>
      <c r="I568" s="323"/>
    </row>
    <row r="569" s="268" customFormat="true" ht="12.75" hidden="false" customHeight="true" outlineLevel="0" collapsed="false">
      <c r="C569" s="306" t="s">
        <v>1111</v>
      </c>
      <c r="D569" s="594" t="n">
        <v>1923</v>
      </c>
      <c r="E569" s="595" t="s">
        <v>1112</v>
      </c>
      <c r="F569" s="596"/>
      <c r="G569" s="596"/>
      <c r="H569" s="597"/>
      <c r="I569" s="323"/>
    </row>
    <row r="570" s="268" customFormat="true" ht="12.75" hidden="false" customHeight="true" outlineLevel="0" collapsed="false">
      <c r="C570" s="306" t="s">
        <v>1113</v>
      </c>
      <c r="D570" s="594" t="n">
        <v>2547</v>
      </c>
      <c r="E570" s="595" t="s">
        <v>1114</v>
      </c>
      <c r="F570" s="596"/>
      <c r="G570" s="596"/>
      <c r="H570" s="597"/>
      <c r="I570" s="323"/>
    </row>
    <row r="571" s="268" customFormat="true" ht="12.75" hidden="false" customHeight="true" outlineLevel="0" collapsed="false">
      <c r="C571" s="306" t="s">
        <v>1115</v>
      </c>
      <c r="D571" s="594" t="n">
        <v>1624</v>
      </c>
      <c r="E571" s="595" t="s">
        <v>1116</v>
      </c>
      <c r="F571" s="596"/>
      <c r="G571" s="596"/>
      <c r="H571" s="597"/>
      <c r="I571" s="323"/>
    </row>
    <row r="572" s="268" customFormat="true" ht="12.75" hidden="false" customHeight="true" outlineLevel="0" collapsed="false">
      <c r="C572" s="306" t="s">
        <v>1117</v>
      </c>
      <c r="D572" s="594" t="n">
        <v>1487</v>
      </c>
      <c r="E572" s="595" t="s">
        <v>1118</v>
      </c>
      <c r="F572" s="596"/>
      <c r="G572" s="596"/>
      <c r="H572" s="597"/>
      <c r="I572" s="323"/>
    </row>
    <row r="573" s="268" customFormat="true" ht="12.75" hidden="false" customHeight="true" outlineLevel="0" collapsed="false">
      <c r="C573" s="306" t="s">
        <v>1119</v>
      </c>
      <c r="D573" s="594" t="n">
        <v>2430</v>
      </c>
      <c r="E573" s="595" t="s">
        <v>1120</v>
      </c>
      <c r="F573" s="596"/>
      <c r="G573" s="596"/>
      <c r="H573" s="597"/>
      <c r="I573" s="323"/>
    </row>
    <row r="574" s="268" customFormat="true" ht="12.75" hidden="false" customHeight="true" outlineLevel="0" collapsed="false">
      <c r="C574" s="306" t="s">
        <v>1121</v>
      </c>
      <c r="D574" s="594" t="n">
        <v>0</v>
      </c>
      <c r="E574" s="595" t="s">
        <v>1122</v>
      </c>
      <c r="F574" s="596"/>
      <c r="G574" s="596"/>
      <c r="H574" s="597"/>
      <c r="I574" s="323"/>
    </row>
    <row r="575" s="268" customFormat="true" ht="12.75" hidden="false" customHeight="true" outlineLevel="0" collapsed="false">
      <c r="C575" s="306" t="s">
        <v>1123</v>
      </c>
      <c r="D575" s="594" t="n">
        <v>1924</v>
      </c>
      <c r="E575" s="595" t="s">
        <v>1124</v>
      </c>
      <c r="F575" s="596"/>
      <c r="G575" s="596"/>
      <c r="H575" s="597"/>
      <c r="I575" s="323"/>
    </row>
    <row r="576" s="268" customFormat="true" ht="12.75" hidden="false" customHeight="true" outlineLevel="0" collapsed="false">
      <c r="C576" s="306" t="s">
        <v>1125</v>
      </c>
      <c r="D576" s="594" t="n">
        <v>2048</v>
      </c>
      <c r="E576" s="595" t="s">
        <v>1126</v>
      </c>
      <c r="F576" s="596"/>
      <c r="G576" s="596"/>
      <c r="H576" s="597"/>
      <c r="I576" s="323"/>
    </row>
    <row r="577" s="268" customFormat="true" ht="12.75" hidden="false" customHeight="true" outlineLevel="0" collapsed="false">
      <c r="C577" s="306" t="s">
        <v>1127</v>
      </c>
      <c r="D577" s="594" t="n">
        <v>15</v>
      </c>
      <c r="E577" s="595" t="s">
        <v>1128</v>
      </c>
      <c r="F577" s="596"/>
      <c r="G577" s="596"/>
      <c r="H577" s="597"/>
      <c r="I577" s="323"/>
    </row>
    <row r="578" s="268" customFormat="true" ht="12.75" hidden="false" customHeight="true" outlineLevel="0" collapsed="false">
      <c r="C578" s="306" t="s">
        <v>1129</v>
      </c>
      <c r="D578" s="594" t="n">
        <v>4</v>
      </c>
      <c r="E578" s="595" t="s">
        <v>1130</v>
      </c>
      <c r="F578" s="596"/>
      <c r="G578" s="596"/>
      <c r="H578" s="597"/>
      <c r="I578" s="323"/>
    </row>
    <row r="579" s="268" customFormat="true" ht="12.75" hidden="false" customHeight="true" outlineLevel="0" collapsed="false">
      <c r="C579" s="306" t="s">
        <v>1131</v>
      </c>
      <c r="D579" s="594" t="n">
        <v>0</v>
      </c>
      <c r="E579" s="595" t="s">
        <v>1132</v>
      </c>
      <c r="F579" s="596"/>
      <c r="G579" s="596"/>
      <c r="H579" s="597"/>
      <c r="I579" s="323"/>
    </row>
    <row r="580" s="268" customFormat="true" ht="12.75" hidden="false" customHeight="true" outlineLevel="0" collapsed="false">
      <c r="C580" s="306" t="s">
        <v>1133</v>
      </c>
      <c r="D580" s="594" t="n">
        <v>0</v>
      </c>
      <c r="E580" s="595" t="s">
        <v>1134</v>
      </c>
      <c r="F580" s="596"/>
      <c r="G580" s="596"/>
      <c r="H580" s="597"/>
      <c r="I580" s="323"/>
    </row>
    <row r="581" s="268" customFormat="true" ht="12.75" hidden="false" customHeight="true" outlineLevel="0" collapsed="false">
      <c r="C581" s="306" t="s">
        <v>1135</v>
      </c>
      <c r="D581" s="594" t="n">
        <v>2127</v>
      </c>
      <c r="E581" s="595" t="s">
        <v>1136</v>
      </c>
      <c r="F581" s="596"/>
      <c r="G581" s="596"/>
      <c r="H581" s="597"/>
      <c r="I581" s="323"/>
    </row>
    <row r="582" s="268" customFormat="true" ht="12.75" hidden="false" customHeight="true" outlineLevel="0" collapsed="false">
      <c r="C582" s="306" t="s">
        <v>1137</v>
      </c>
      <c r="D582" s="594" t="n">
        <v>2847</v>
      </c>
      <c r="E582" s="595" t="s">
        <v>1138</v>
      </c>
      <c r="F582" s="596"/>
      <c r="G582" s="596"/>
      <c r="H582" s="597"/>
      <c r="I582" s="323"/>
    </row>
    <row r="583" s="268" customFormat="true" ht="12.75" hidden="false" customHeight="true" outlineLevel="0" collapsed="false">
      <c r="C583" s="306" t="s">
        <v>1139</v>
      </c>
      <c r="D583" s="594" t="n">
        <v>2473</v>
      </c>
      <c r="E583" s="595" t="s">
        <v>1140</v>
      </c>
      <c r="F583" s="596"/>
      <c r="G583" s="596"/>
      <c r="H583" s="597"/>
      <c r="I583" s="323"/>
    </row>
    <row r="584" s="268" customFormat="true" ht="12.75" hidden="false" customHeight="true" outlineLevel="0" collapsed="false">
      <c r="C584" s="306" t="s">
        <v>1141</v>
      </c>
      <c r="D584" s="594" t="n">
        <v>3104</v>
      </c>
      <c r="E584" s="595" t="s">
        <v>1142</v>
      </c>
      <c r="F584" s="596"/>
      <c r="G584" s="596"/>
      <c r="H584" s="597"/>
      <c r="I584" s="323"/>
    </row>
    <row r="585" s="268" customFormat="true" ht="12.75" hidden="false" customHeight="true" outlineLevel="0" collapsed="false">
      <c r="C585" s="306" t="s">
        <v>1143</v>
      </c>
      <c r="D585" s="594" t="n">
        <v>1371</v>
      </c>
      <c r="E585" s="595" t="s">
        <v>1144</v>
      </c>
      <c r="F585" s="596"/>
      <c r="G585" s="596"/>
      <c r="H585" s="597"/>
      <c r="I585" s="323"/>
    </row>
    <row r="586" s="268" customFormat="true" ht="12.75" hidden="false" customHeight="true" outlineLevel="0" collapsed="false">
      <c r="C586" s="306" t="s">
        <v>1145</v>
      </c>
      <c r="D586" s="594" t="n">
        <v>3417</v>
      </c>
      <c r="E586" s="595" t="s">
        <v>1146</v>
      </c>
      <c r="F586" s="596"/>
      <c r="G586" s="596"/>
      <c r="H586" s="597"/>
      <c r="I586" s="323"/>
    </row>
    <row r="587" s="268" customFormat="true" ht="12.75" hidden="false" customHeight="true" outlineLevel="0" collapsed="false">
      <c r="C587" s="306" t="s">
        <v>1147</v>
      </c>
      <c r="D587" s="594" t="n">
        <v>3075</v>
      </c>
      <c r="E587" s="595" t="s">
        <v>1148</v>
      </c>
      <c r="F587" s="596"/>
      <c r="G587" s="596"/>
      <c r="H587" s="597"/>
      <c r="I587" s="323"/>
    </row>
    <row r="588" s="268" customFormat="true" ht="12.75" hidden="false" customHeight="true" outlineLevel="0" collapsed="false">
      <c r="C588" s="598" t="s">
        <v>1149</v>
      </c>
      <c r="D588" s="594" t="n">
        <v>3985</v>
      </c>
      <c r="E588" s="595" t="s">
        <v>1150</v>
      </c>
      <c r="F588" s="596"/>
      <c r="G588" s="596"/>
      <c r="H588" s="597"/>
      <c r="I588" s="323"/>
    </row>
    <row r="589" s="268" customFormat="true" ht="12.75" hidden="false" customHeight="true" outlineLevel="0" collapsed="false">
      <c r="C589" s="306" t="s">
        <v>1151</v>
      </c>
      <c r="D589" s="594" t="n">
        <v>11607</v>
      </c>
      <c r="E589" s="595" t="s">
        <v>1152</v>
      </c>
      <c r="F589" s="596"/>
      <c r="G589" s="596"/>
      <c r="H589" s="597"/>
      <c r="I589" s="323"/>
    </row>
    <row r="590" s="268" customFormat="true" ht="13.5" hidden="false" customHeight="true" outlineLevel="0" collapsed="false">
      <c r="C590" s="352" t="s">
        <v>1153</v>
      </c>
      <c r="D590" s="599" t="n">
        <v>11698</v>
      </c>
      <c r="E590" s="600" t="s">
        <v>1154</v>
      </c>
      <c r="F590" s="601"/>
      <c r="G590" s="601"/>
      <c r="H590" s="602"/>
      <c r="I590" s="323"/>
    </row>
    <row r="591" s="287" customFormat="true" ht="41.25" hidden="false" customHeight="true" outlineLevel="0" collapsed="false">
      <c r="B591" s="343"/>
      <c r="C591" s="286" t="s">
        <v>1155</v>
      </c>
      <c r="D591" s="286"/>
      <c r="E591" s="286"/>
      <c r="F591" s="286"/>
      <c r="G591" s="286"/>
      <c r="H591" s="286"/>
      <c r="I591" s="286"/>
      <c r="J591" s="286"/>
      <c r="K591" s="286"/>
      <c r="L591" s="286"/>
      <c r="M591" s="329"/>
    </row>
    <row r="593" customFormat="false" ht="14.25" hidden="false" customHeight="true" outlineLevel="0" collapsed="false">
      <c r="B593" s="37" t="s">
        <v>1156</v>
      </c>
    </row>
  </sheetData>
  <mergeCells count="57">
    <mergeCell ref="B2:L2"/>
    <mergeCell ref="C5:L5"/>
    <mergeCell ref="C10:G10"/>
    <mergeCell ref="C91:K91"/>
    <mergeCell ref="C93:K93"/>
    <mergeCell ref="C115:K115"/>
    <mergeCell ref="C117:K117"/>
    <mergeCell ref="C118:K118"/>
    <mergeCell ref="C239:C241"/>
    <mergeCell ref="C244:L244"/>
    <mergeCell ref="C249:C251"/>
    <mergeCell ref="D249:D251"/>
    <mergeCell ref="C252:C254"/>
    <mergeCell ref="D252:D254"/>
    <mergeCell ref="C255:C256"/>
    <mergeCell ref="D255:D256"/>
    <mergeCell ref="C257:C261"/>
    <mergeCell ref="C262:C266"/>
    <mergeCell ref="C267:C270"/>
    <mergeCell ref="C271:C276"/>
    <mergeCell ref="C277:C282"/>
    <mergeCell ref="C285:L285"/>
    <mergeCell ref="C290:C293"/>
    <mergeCell ref="C295:C296"/>
    <mergeCell ref="C297:C302"/>
    <mergeCell ref="C303:C308"/>
    <mergeCell ref="C309:C312"/>
    <mergeCell ref="C313:C315"/>
    <mergeCell ref="C316:C319"/>
    <mergeCell ref="C320:C322"/>
    <mergeCell ref="C323:C325"/>
    <mergeCell ref="C326:C329"/>
    <mergeCell ref="C332:H332"/>
    <mergeCell ref="E336:G336"/>
    <mergeCell ref="H336:J336"/>
    <mergeCell ref="C369:J369"/>
    <mergeCell ref="C370:J370"/>
    <mergeCell ref="B415:L415"/>
    <mergeCell ref="B416:L416"/>
    <mergeCell ref="C420:L420"/>
    <mergeCell ref="C429:L429"/>
    <mergeCell ref="C430:L430"/>
    <mergeCell ref="C433:K433"/>
    <mergeCell ref="D434:I434"/>
    <mergeCell ref="C497:L497"/>
    <mergeCell ref="C498:L498"/>
    <mergeCell ref="C499:L499"/>
    <mergeCell ref="C502:K502"/>
    <mergeCell ref="C516:L516"/>
    <mergeCell ref="C517:L517"/>
    <mergeCell ref="B519:L519"/>
    <mergeCell ref="H530:N530"/>
    <mergeCell ref="H531:N531"/>
    <mergeCell ref="H538:N538"/>
    <mergeCell ref="H539:N539"/>
    <mergeCell ref="C556:L556"/>
    <mergeCell ref="C591:L591"/>
  </mergeCells>
  <hyperlinks>
    <hyperlink ref="C92" r:id="rId1" display="https://www.ecfr.gov/current/title-40/chapter-I/subchapter-C/part-98"/>
    <hyperlink ref="C116" r:id="rId2" display="https://www.ecfr.gov/current/title-40/chapter-I/subchapter-C/part-98"/>
    <hyperlink ref="C243" r:id="rId3" display="https://www.epa.gov/ghgemissions/inventory-us-greenhouse-gas-emissions-and-sinks"/>
    <hyperlink ref="C284" r:id="rId4" display="https://www.epa.gov/ghgemissions/inventory-us-greenhouse-gas-emissions-and-sinks"/>
    <hyperlink ref="C331" r:id="rId5" display="https://www.epa.gov/ghgemissions/inventory-us-greenhouse-gas-emissions-and-sinks"/>
    <hyperlink ref="C368" r:id="rId6" display="https://www.epa.gov/system/files/documents/2025-01/egrid2023_summary_tables.xlsx"/>
    <hyperlink ref="C374" r:id="rId7" display="https://www.epa.gov/system/files/documents/2025-01/egrid2023_technical_guide.pdf"/>
    <hyperlink ref="C498" r:id="rId8" display="U.S. Environmental Protection Agency, Office of Resource Conservation and Recovery (December 2023) Documentation for Greenhouse Gas Emission and Energy Factors used in the Waste Reduction Model (WARM). Factors from tables provided in the Management Practices Chapters and Background Chapters. "/>
    <hyperlink ref="B593" r:id="rId9" display="GHG Emission Factors Hub | US EPA"/>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F22" activeCellId="0" sqref="F22"/>
    </sheetView>
  </sheetViews>
  <sheetFormatPr defaultColWidth="8.6796875" defaultRowHeight="14.25" zeroHeight="false" outlineLevelRow="0" outlineLevelCol="0"/>
  <cols>
    <col collapsed="false" customWidth="true" hidden="false" outlineLevel="0" max="1" min="1" style="1" width="1.44"/>
    <col collapsed="false" customWidth="true" hidden="false" outlineLevel="0" max="2" min="2" style="1" width="22"/>
    <col collapsed="false" customWidth="true" hidden="false" outlineLevel="0" max="4" min="3" style="1" width="16"/>
    <col collapsed="false" customWidth="true" hidden="false" outlineLevel="0" max="7" min="5" style="1" width="14"/>
    <col collapsed="false" customWidth="true" hidden="false" outlineLevel="0" max="8" min="8" style="1" width="16"/>
    <col collapsed="false" customWidth="true" hidden="false" outlineLevel="0" max="9" min="9" style="1" width="16.11"/>
    <col collapsed="false" customWidth="true" hidden="false" outlineLevel="0" max="10" min="10" style="1" width="1.44"/>
  </cols>
  <sheetData>
    <row r="1" customFormat="false" ht="7.5" hidden="false" customHeight="true" outlineLevel="0" collapsed="false">
      <c r="A1" s="224"/>
      <c r="B1" s="224"/>
      <c r="C1" s="224"/>
      <c r="D1" s="224"/>
      <c r="E1" s="224"/>
      <c r="F1" s="224"/>
      <c r="G1" s="224"/>
      <c r="H1" s="224"/>
      <c r="I1" s="224"/>
      <c r="J1" s="224"/>
      <c r="K1" s="224"/>
    </row>
    <row r="2" customFormat="false" ht="48" hidden="false" customHeight="true" outlineLevel="0" collapsed="false">
      <c r="A2" s="224"/>
      <c r="B2" s="225" t="s">
        <v>1157</v>
      </c>
      <c r="C2" s="225"/>
      <c r="D2" s="225"/>
      <c r="E2" s="225"/>
      <c r="F2" s="225"/>
      <c r="G2" s="225"/>
      <c r="H2" s="225"/>
      <c r="I2" s="225"/>
      <c r="J2" s="224"/>
      <c r="K2" s="224"/>
    </row>
    <row r="3" customFormat="false" ht="19.5" hidden="false" customHeight="true" outlineLevel="0" collapsed="false">
      <c r="A3" s="224"/>
      <c r="B3" s="226" t="s">
        <v>1158</v>
      </c>
      <c r="C3" s="226"/>
      <c r="D3" s="226"/>
      <c r="E3" s="226"/>
      <c r="F3" s="226"/>
      <c r="G3" s="226"/>
      <c r="H3" s="226"/>
      <c r="I3" s="226"/>
      <c r="J3" s="224"/>
      <c r="K3" s="224"/>
    </row>
    <row r="4" customFormat="false" ht="13.5" hidden="false" customHeight="true" outlineLevel="0" collapsed="false">
      <c r="A4" s="224"/>
      <c r="B4" s="224"/>
      <c r="C4" s="224"/>
      <c r="D4" s="224"/>
      <c r="E4" s="224"/>
      <c r="F4" s="224"/>
      <c r="G4" s="224"/>
      <c r="H4" s="224"/>
      <c r="I4" s="224"/>
      <c r="J4" s="224"/>
      <c r="K4" s="224"/>
    </row>
    <row r="5" customFormat="false" ht="13.5" hidden="false" customHeight="true" outlineLevel="0" collapsed="false">
      <c r="A5" s="224"/>
      <c r="B5" s="224"/>
      <c r="C5" s="224"/>
      <c r="D5" s="224"/>
      <c r="E5" s="224"/>
      <c r="F5" s="224"/>
      <c r="G5" s="224"/>
      <c r="H5" s="224"/>
      <c r="I5" s="224"/>
      <c r="J5" s="224"/>
      <c r="K5" s="224"/>
    </row>
    <row r="6" customFormat="false" ht="19.5" hidden="false" customHeight="true" outlineLevel="0" collapsed="false">
      <c r="A6" s="224"/>
      <c r="B6" s="603" t="s">
        <v>1159</v>
      </c>
      <c r="C6" s="603"/>
      <c r="D6" s="604" t="s">
        <v>1160</v>
      </c>
      <c r="E6" s="604"/>
      <c r="F6" s="605" t="s">
        <v>1161</v>
      </c>
      <c r="G6" s="605"/>
      <c r="H6" s="606" t="s">
        <v>1162</v>
      </c>
      <c r="I6" s="606"/>
      <c r="J6" s="224"/>
      <c r="K6" s="224"/>
    </row>
    <row r="7" customFormat="false" ht="30" hidden="false" customHeight="true" outlineLevel="0" collapsed="false">
      <c r="A7" s="224"/>
      <c r="B7" s="607" t="n">
        <f aca="false">'Scope 1'!K37</f>
        <v>3345538.47</v>
      </c>
      <c r="C7" s="607"/>
      <c r="D7" s="608" t="n">
        <f aca="false">'Scope 2'!I33</f>
        <v>3468</v>
      </c>
      <c r="E7" s="608"/>
      <c r="F7" s="609" t="n">
        <f aca="false">'Scope 3'!J70</f>
        <v>1091980.1302664</v>
      </c>
      <c r="G7" s="609"/>
      <c r="H7" s="610" t="n">
        <f aca="false">'Summary &amp; Intensity'!C11</f>
        <v>4440986.6002664</v>
      </c>
      <c r="I7" s="610"/>
      <c r="J7" s="224"/>
      <c r="K7" s="224"/>
    </row>
    <row r="8" customFormat="false" ht="18" hidden="false" customHeight="true" outlineLevel="0" collapsed="false">
      <c r="A8" s="224"/>
      <c r="B8" s="611" t="s">
        <v>356</v>
      </c>
      <c r="C8" s="611"/>
      <c r="D8" s="612" t="s">
        <v>356</v>
      </c>
      <c r="E8" s="612"/>
      <c r="F8" s="613" t="s">
        <v>356</v>
      </c>
      <c r="G8" s="613"/>
      <c r="H8" s="614" t="s">
        <v>356</v>
      </c>
      <c r="I8" s="614"/>
      <c r="J8" s="224"/>
      <c r="K8" s="224"/>
    </row>
    <row r="9" customFormat="false" ht="18" hidden="false" customHeight="true" outlineLevel="0" collapsed="false">
      <c r="A9" s="224"/>
      <c r="B9" s="615" t="s">
        <v>1163</v>
      </c>
      <c r="C9" s="615"/>
      <c r="D9" s="616" t="s">
        <v>1164</v>
      </c>
      <c r="E9" s="616"/>
      <c r="F9" s="617" t="s">
        <v>1165</v>
      </c>
      <c r="G9" s="617"/>
      <c r="H9" s="618" t="s">
        <v>1166</v>
      </c>
      <c r="I9" s="618"/>
      <c r="J9" s="224"/>
      <c r="K9" s="224"/>
    </row>
    <row r="10" customFormat="false" ht="13.5" hidden="false" customHeight="true" outlineLevel="0" collapsed="false">
      <c r="A10" s="224"/>
      <c r="B10" s="224"/>
      <c r="C10" s="224"/>
      <c r="D10" s="224"/>
      <c r="E10" s="224"/>
      <c r="F10" s="224"/>
      <c r="G10" s="224"/>
      <c r="H10" s="224"/>
      <c r="I10" s="224"/>
      <c r="J10" s="224"/>
      <c r="K10" s="224"/>
    </row>
    <row r="11" customFormat="false" ht="24" hidden="false" customHeight="true" outlineLevel="0" collapsed="false">
      <c r="A11" s="224"/>
      <c r="B11" s="227" t="s">
        <v>1167</v>
      </c>
      <c r="C11" s="227"/>
      <c r="D11" s="227"/>
      <c r="E11" s="227"/>
      <c r="F11" s="227"/>
      <c r="G11" s="227"/>
      <c r="H11" s="227"/>
      <c r="I11" s="227"/>
      <c r="J11" s="224"/>
      <c r="K11" s="224"/>
    </row>
    <row r="12" customFormat="false" ht="19.5" hidden="false" customHeight="true" outlineLevel="0" collapsed="false">
      <c r="A12" s="224"/>
      <c r="B12" s="233" t="s">
        <v>451</v>
      </c>
      <c r="C12" s="233" t="s">
        <v>431</v>
      </c>
      <c r="D12" s="233" t="s">
        <v>356</v>
      </c>
      <c r="E12" s="233" t="s">
        <v>1168</v>
      </c>
      <c r="F12" s="233" t="s">
        <v>1169</v>
      </c>
      <c r="G12" s="233" t="s">
        <v>1170</v>
      </c>
      <c r="H12" s="233" t="s">
        <v>455</v>
      </c>
      <c r="I12" s="233" t="s">
        <v>1171</v>
      </c>
      <c r="J12" s="224"/>
      <c r="K12" s="224"/>
    </row>
    <row r="13" customFormat="false" ht="19.5" hidden="false" customHeight="true" outlineLevel="0" collapsed="false">
      <c r="A13" s="224"/>
      <c r="B13" s="619" t="s">
        <v>456</v>
      </c>
      <c r="C13" s="620" t="s">
        <v>1172</v>
      </c>
      <c r="D13" s="621" t="n">
        <f aca="false">'Summary &amp; Intensity'!C6</f>
        <v>3345538.47</v>
      </c>
      <c r="E13" s="622" t="n">
        <f aca="false">IFERROR(D13/'Summary &amp; Intensity'!C11,0)</f>
        <v>0.753332259502722</v>
      </c>
      <c r="F13" s="623" t="s">
        <v>1173</v>
      </c>
      <c r="G13" s="624" t="n">
        <f aca="false">'Scope 2'!H32</f>
        <v>68552.8</v>
      </c>
      <c r="H13" s="623" t="s">
        <v>1173</v>
      </c>
      <c r="I13" s="625" t="s">
        <v>1174</v>
      </c>
      <c r="J13" s="224"/>
      <c r="K13" s="224"/>
    </row>
    <row r="14" customFormat="false" ht="19.5" hidden="false" customHeight="true" outlineLevel="0" collapsed="false">
      <c r="A14" s="224"/>
      <c r="B14" s="626" t="s">
        <v>1175</v>
      </c>
      <c r="C14" s="627" t="s">
        <v>1176</v>
      </c>
      <c r="D14" s="628" t="n">
        <f aca="false">'Summary &amp; Intensity'!C7</f>
        <v>3468</v>
      </c>
      <c r="E14" s="629" t="n">
        <f aca="false">IFERROR(D14/'Summary &amp; Intensity'!C11,0)</f>
        <v>0.000780907557746733</v>
      </c>
      <c r="F14" s="630" t="n">
        <f aca="false">'Scope 2'!H32</f>
        <v>68552.8</v>
      </c>
      <c r="G14" s="630" t="n">
        <f aca="false">'Scope 2'!I33</f>
        <v>3468</v>
      </c>
      <c r="H14" s="631" t="s">
        <v>1173</v>
      </c>
      <c r="I14" s="632" t="s">
        <v>1174</v>
      </c>
      <c r="J14" s="224"/>
      <c r="K14" s="224"/>
    </row>
    <row r="15" customFormat="false" ht="19.5" hidden="false" customHeight="true" outlineLevel="0" collapsed="false">
      <c r="A15" s="224"/>
      <c r="B15" s="633" t="s">
        <v>465</v>
      </c>
      <c r="C15" s="620" t="s">
        <v>1177</v>
      </c>
      <c r="D15" s="621" t="n">
        <f aca="false">'Summary &amp; Intensity'!C9</f>
        <v>1091980.1302664</v>
      </c>
      <c r="E15" s="622" t="n">
        <f aca="false">IFERROR(D15/'Summary &amp; Intensity'!C11,0)</f>
        <v>0.245886832939531</v>
      </c>
      <c r="F15" s="623" t="s">
        <v>1173</v>
      </c>
      <c r="G15" s="623" t="s">
        <v>1173</v>
      </c>
      <c r="H15" s="623" t="s">
        <v>1173</v>
      </c>
      <c r="I15" s="625" t="s">
        <v>1174</v>
      </c>
      <c r="J15" s="224"/>
      <c r="K15" s="224"/>
    </row>
    <row r="16" customFormat="false" ht="19.5" hidden="false" customHeight="true" outlineLevel="0" collapsed="false">
      <c r="A16" s="224"/>
      <c r="B16" s="634" t="s">
        <v>1178</v>
      </c>
      <c r="C16" s="635" t="s">
        <v>1179</v>
      </c>
      <c r="D16" s="636" t="n">
        <f aca="false">'Summary &amp; Intensity'!C11</f>
        <v>4440986.6002664</v>
      </c>
      <c r="E16" s="637" t="n">
        <f aca="false">IFERROR(D16/'Summary &amp; Intensity'!C11,0)</f>
        <v>1</v>
      </c>
      <c r="F16" s="638" t="s">
        <v>1173</v>
      </c>
      <c r="G16" s="638" t="s">
        <v>1173</v>
      </c>
      <c r="H16" s="638" t="s">
        <v>1173</v>
      </c>
      <c r="I16" s="639" t="s">
        <v>1180</v>
      </c>
      <c r="J16" s="224"/>
      <c r="K16" s="224"/>
    </row>
    <row r="17" customFormat="false" ht="9.75" hidden="false" customHeight="true" outlineLevel="0" collapsed="false">
      <c r="A17" s="224"/>
      <c r="B17" s="224"/>
      <c r="C17" s="224"/>
      <c r="D17" s="224"/>
      <c r="E17" s="224"/>
      <c r="F17" s="224"/>
      <c r="G17" s="224"/>
      <c r="H17" s="224"/>
      <c r="I17" s="224"/>
      <c r="J17" s="224"/>
      <c r="K17" s="224"/>
    </row>
    <row r="18" customFormat="false" ht="24" hidden="false" customHeight="true" outlineLevel="0" collapsed="false">
      <c r="A18" s="224"/>
      <c r="B18" s="227" t="s">
        <v>1181</v>
      </c>
      <c r="C18" s="227"/>
      <c r="D18" s="227"/>
      <c r="E18" s="227"/>
      <c r="F18" s="227"/>
      <c r="G18" s="227"/>
      <c r="H18" s="227"/>
      <c r="I18" s="227"/>
      <c r="J18" s="224"/>
      <c r="K18" s="224"/>
    </row>
    <row r="19" customFormat="false" ht="19.5" hidden="false" customHeight="true" outlineLevel="0" collapsed="false">
      <c r="A19" s="224"/>
      <c r="B19" s="233" t="s">
        <v>455</v>
      </c>
      <c r="C19" s="233" t="s">
        <v>527</v>
      </c>
      <c r="D19" s="233" t="s">
        <v>528</v>
      </c>
      <c r="E19" s="233" t="s">
        <v>1182</v>
      </c>
      <c r="F19" s="233" t="s">
        <v>1183</v>
      </c>
      <c r="G19" s="233" t="s">
        <v>1184</v>
      </c>
      <c r="H19" s="233" t="s">
        <v>1185</v>
      </c>
      <c r="I19" s="233" t="s">
        <v>1186</v>
      </c>
      <c r="J19" s="224"/>
      <c r="K19" s="224"/>
    </row>
    <row r="20" customFormat="false" ht="19.5" hidden="false" customHeight="true" outlineLevel="0" collapsed="false">
      <c r="A20" s="224"/>
      <c r="B20" s="640" t="str">
        <f aca="false">'Trend Analysis'!A18</f>
        <v>Net Zero Commitment</v>
      </c>
      <c r="C20" s="641" t="n">
        <f aca="false">'Trend Analysis'!B18</f>
        <v>2040</v>
      </c>
      <c r="D20" s="641" t="n">
        <f aca="false">'Trend Analysis'!C18</f>
        <v>2024</v>
      </c>
      <c r="E20" s="642" t="n">
        <f aca="false">'Trend Analysis'!D18</f>
        <v>1403800</v>
      </c>
      <c r="F20" s="622" t="n">
        <f aca="false">'Trend Analysis'!E18</f>
        <v>0.5</v>
      </c>
      <c r="G20" s="642" t="n">
        <f aca="false">'Trend Analysis'!F18</f>
        <v>701900</v>
      </c>
      <c r="H20" s="642" t="n">
        <f aca="false">'Trend Analysis'!G18</f>
        <v>43868.75</v>
      </c>
      <c r="I20" s="623" t="str">
        <f aca="false">'Trend Analysis'!H18</f>
        <v>Science-Based Target (SBTi)</v>
      </c>
      <c r="J20" s="224"/>
      <c r="K20" s="224"/>
    </row>
    <row r="21" customFormat="false" ht="19.5" hidden="false" customHeight="true" outlineLevel="0" collapsed="false">
      <c r="A21" s="224"/>
      <c r="B21" s="643" t="str">
        <f aca="false">'Trend Analysis'!A19</f>
        <v>Near-Term Scope 1+2 Target</v>
      </c>
      <c r="C21" s="644" t="n">
        <f aca="false">'Trend Analysis'!B19</f>
        <v>2030</v>
      </c>
      <c r="D21" s="644" t="n">
        <f aca="false">'Trend Analysis'!C19</f>
        <v>2024</v>
      </c>
      <c r="E21" s="645" t="n">
        <f aca="false">'Trend Analysis'!D19</f>
        <v>600000</v>
      </c>
      <c r="F21" s="629" t="n">
        <f aca="false">'Trend Analysis'!E19</f>
        <v>0.42</v>
      </c>
      <c r="G21" s="645" t="n">
        <f aca="false">'Trend Analysis'!F19</f>
        <v>348000</v>
      </c>
      <c r="H21" s="645" t="n">
        <f aca="false">'Trend Analysis'!G19</f>
        <v>42000</v>
      </c>
      <c r="I21" s="631" t="str">
        <f aca="false">'Trend Analysis'!H19</f>
        <v>SBTi 1.5°C aligned</v>
      </c>
      <c r="J21" s="224"/>
      <c r="K21" s="224"/>
    </row>
    <row r="22" customFormat="false" ht="19.5" hidden="false" customHeight="true" outlineLevel="0" collapsed="false">
      <c r="A22" s="224"/>
      <c r="B22" s="633" t="str">
        <f aca="false">'Trend Analysis'!A20</f>
        <v>Scope 3 Fleet Electrification Target</v>
      </c>
      <c r="C22" s="641" t="n">
        <f aca="false">'Trend Analysis'!B20</f>
        <v>2035</v>
      </c>
      <c r="D22" s="641" t="n">
        <f aca="false">'Trend Analysis'!C20</f>
        <v>2024</v>
      </c>
      <c r="E22" s="642" t="n">
        <f aca="false">'Trend Analysis'!D20</f>
        <v>1640000</v>
      </c>
      <c r="F22" s="622" t="n">
        <f aca="false">'Trend Analysis'!E20</f>
        <v>0.35</v>
      </c>
      <c r="G22" s="642" t="n">
        <f aca="false">'Trend Analysis'!F20</f>
        <v>1066000</v>
      </c>
      <c r="H22" s="642" t="n">
        <f aca="false">'Trend Analysis'!G20</f>
        <v>52181.8181818182</v>
      </c>
      <c r="I22" s="623" t="str">
        <f aca="false">'Trend Analysis'!H20</f>
        <v>SBTi value chain</v>
      </c>
      <c r="J22" s="224"/>
      <c r="K22" s="224"/>
    </row>
    <row r="23" customFormat="false" ht="9.75" hidden="false" customHeight="true" outlineLevel="0" collapsed="false">
      <c r="A23" s="224"/>
      <c r="B23" s="224"/>
      <c r="C23" s="224"/>
      <c r="D23" s="224"/>
      <c r="E23" s="224"/>
      <c r="F23" s="224"/>
      <c r="G23" s="224"/>
      <c r="H23" s="224"/>
      <c r="I23" s="224"/>
      <c r="J23" s="224"/>
      <c r="K23" s="224"/>
    </row>
    <row r="24" customFormat="false" ht="24" hidden="false" customHeight="true" outlineLevel="0" collapsed="false">
      <c r="A24" s="224"/>
      <c r="B24" s="227" t="s">
        <v>1187</v>
      </c>
      <c r="C24" s="227"/>
      <c r="D24" s="227"/>
      <c r="E24" s="227"/>
      <c r="F24" s="227"/>
      <c r="G24" s="227"/>
      <c r="H24" s="227"/>
      <c r="I24" s="227"/>
      <c r="J24" s="224"/>
      <c r="K24" s="224"/>
    </row>
    <row r="25" customFormat="false" ht="19.5" hidden="false" customHeight="true" outlineLevel="0" collapsed="false">
      <c r="A25" s="224"/>
      <c r="B25" s="233" t="s">
        <v>508</v>
      </c>
      <c r="C25" s="233" t="s">
        <v>471</v>
      </c>
      <c r="D25" s="233" t="s">
        <v>1188</v>
      </c>
      <c r="E25" s="233" t="s">
        <v>1189</v>
      </c>
      <c r="F25" s="233" t="s">
        <v>474</v>
      </c>
      <c r="G25" s="233" t="s">
        <v>1190</v>
      </c>
      <c r="H25" s="233" t="s">
        <v>1191</v>
      </c>
      <c r="I25" s="233" t="s">
        <v>64</v>
      </c>
      <c r="J25" s="224"/>
      <c r="K25" s="224"/>
    </row>
    <row r="26" customFormat="false" ht="19.5" hidden="false" customHeight="true" outlineLevel="0" collapsed="false">
      <c r="A26" s="224"/>
      <c r="B26" s="646" t="s">
        <v>477</v>
      </c>
      <c r="C26" s="620" t="s">
        <v>480</v>
      </c>
      <c r="D26" s="621" t="str">
        <f aca="false">'Summary &amp; Intensity'!C15</f>
        <v>Current Year
(tCO₂e / unit)</v>
      </c>
      <c r="E26" s="624" t="str">
        <f aca="false">'Summary &amp; Intensity'!D15</f>
        <v>Prior Year
(tCO₂e / unit)</v>
      </c>
      <c r="F26" s="647" t="str">
        <f aca="false">'Summary &amp; Intensity'!E15</f>
        <v>Change (%)</v>
      </c>
      <c r="G26" s="648" t="str">
        <f aca="false">'Summary &amp; Intensity'!F15</f>
        <v>Industry
Benchmark</v>
      </c>
      <c r="H26" s="649" t="str">
        <f aca="false">'Summary &amp; Intensity'!G15</f>
        <v>vs. Benchmark</v>
      </c>
      <c r="I26" s="623" t="s">
        <v>1192</v>
      </c>
      <c r="J26" s="224"/>
      <c r="K26" s="224"/>
    </row>
    <row r="27" customFormat="false" ht="19.5" hidden="false" customHeight="true" outlineLevel="0" collapsed="false">
      <c r="A27" s="224"/>
      <c r="B27" s="650" t="s">
        <v>481</v>
      </c>
      <c r="C27" s="627" t="s">
        <v>1193</v>
      </c>
      <c r="D27" s="628" t="n">
        <f aca="false">'Summary &amp; Intensity'!C16</f>
        <v>1153.50301305621</v>
      </c>
      <c r="E27" s="630" t="n">
        <f aca="false">'Summary &amp; Intensity'!D16</f>
        <v>79.9145600830522</v>
      </c>
      <c r="F27" s="651" t="n">
        <f aca="false">'Summary &amp; Intensity'!E16</f>
        <v>13.4342033774248</v>
      </c>
      <c r="G27" s="631" t="str">
        <f aca="false">'Summary &amp; Intensity'!F16</f>
        <v>[Industry benchmark]</v>
      </c>
      <c r="H27" s="652" t="n">
        <f aca="false">'Summary &amp; Intensity'!G16</f>
        <v>0</v>
      </c>
      <c r="I27" s="631" t="s">
        <v>1194</v>
      </c>
      <c r="J27" s="224"/>
      <c r="K27" s="224"/>
    </row>
    <row r="28" customFormat="false" ht="19.5" hidden="false" customHeight="true" outlineLevel="0" collapsed="false">
      <c r="A28" s="224"/>
      <c r="B28" s="646" t="s">
        <v>493</v>
      </c>
      <c r="C28" s="620" t="s">
        <v>1195</v>
      </c>
      <c r="D28" s="621" t="n">
        <f aca="false">'Summary &amp; Intensity'!C22</f>
        <v>0.814873417721519</v>
      </c>
      <c r="E28" s="624" t="n">
        <f aca="false">'Summary &amp; Intensity'!D22</f>
        <v>0.981657429972541</v>
      </c>
      <c r="F28" s="647" t="n">
        <f aca="false">'Summary &amp; Intensity'!E22</f>
        <v>-0.169900422651196</v>
      </c>
      <c r="G28" s="623" t="str">
        <f aca="false">'Summary &amp; Intensity'!F22</f>
        <v>[Industry benchmark]</v>
      </c>
      <c r="H28" s="649" t="n">
        <f aca="false">'Summary &amp; Intensity'!G22</f>
        <v>0</v>
      </c>
      <c r="I28" s="623" t="s">
        <v>495</v>
      </c>
      <c r="J28" s="224"/>
      <c r="K28" s="224"/>
    </row>
    <row r="29" customFormat="false" ht="19.5" hidden="false" customHeight="true" outlineLevel="0" collapsed="false">
      <c r="A29" s="224"/>
      <c r="B29" s="650" t="s">
        <v>1196</v>
      </c>
      <c r="C29" s="627" t="s">
        <v>1197</v>
      </c>
      <c r="D29" s="628" t="n">
        <f aca="false">'Summary &amp; Intensity'!C19</f>
        <v>868.971031168831</v>
      </c>
      <c r="E29" s="630" t="n">
        <f aca="false">'Summary &amp; Intensity'!D19</f>
        <v>0.673855083406083</v>
      </c>
      <c r="F29" s="651" t="n">
        <f aca="false">'Summary &amp; Intensity'!E19</f>
        <v>1288.55179320828</v>
      </c>
      <c r="G29" s="631" t="str">
        <f aca="false">'Summary &amp; Intensity'!F19</f>
        <v>[Industry benchmark]</v>
      </c>
      <c r="H29" s="652" t="n">
        <f aca="false">'Summary &amp; Intensity'!G19</f>
        <v>0</v>
      </c>
      <c r="I29" s="631" t="s">
        <v>1192</v>
      </c>
      <c r="J29" s="224"/>
      <c r="K29" s="224"/>
    </row>
    <row r="30" customFormat="false" ht="19.5" hidden="false" customHeight="true" outlineLevel="0" collapsed="false">
      <c r="A30" s="224"/>
      <c r="B30" s="646" t="s">
        <v>1198</v>
      </c>
      <c r="C30" s="620" t="s">
        <v>1199</v>
      </c>
      <c r="D30" s="621" t="n">
        <f aca="false">'Summary &amp; Intensity'!C20</f>
        <v>0.900779220779221</v>
      </c>
      <c r="E30" s="624" t="n">
        <f aca="false">'Summary &amp; Intensity'!D20</f>
        <v>0.181204728310879</v>
      </c>
      <c r="F30" s="647" t="n">
        <f aca="false">'Summary &amp; Intensity'!E20</f>
        <v>3.97105803571429</v>
      </c>
      <c r="G30" s="623" t="str">
        <f aca="false">'Summary &amp; Intensity'!F20</f>
        <v>[Industry benchmark]</v>
      </c>
      <c r="H30" s="649" t="n">
        <f aca="false">'Summary &amp; Intensity'!G20</f>
        <v>0</v>
      </c>
      <c r="I30" s="623" t="s">
        <v>1192</v>
      </c>
      <c r="J30" s="224"/>
      <c r="K30" s="224"/>
    </row>
    <row r="31" customFormat="false" ht="19.5" hidden="false" customHeight="true" outlineLevel="0" collapsed="false">
      <c r="A31" s="224"/>
      <c r="B31" s="650" t="s">
        <v>1200</v>
      </c>
      <c r="C31" s="627" t="s">
        <v>1201</v>
      </c>
      <c r="D31" s="628" t="n">
        <f aca="false">'Summary &amp; Intensity'!C21</f>
        <v>283.631202666597</v>
      </c>
      <c r="E31" s="630" t="n">
        <f aca="false">'Summary &amp; Intensity'!D21</f>
        <v>9.15461387820588</v>
      </c>
      <c r="F31" s="651" t="n">
        <f aca="false">'Summary &amp; Intensity'!E21</f>
        <v>29.9823228418</v>
      </c>
      <c r="G31" s="631" t="str">
        <f aca="false">'Summary &amp; Intensity'!F21</f>
        <v>[Industry benchmark]</v>
      </c>
      <c r="H31" s="652" t="n">
        <f aca="false">'Summary &amp; Intensity'!G21</f>
        <v>0</v>
      </c>
      <c r="I31" s="631" t="s">
        <v>1192</v>
      </c>
      <c r="J31" s="224"/>
      <c r="K31" s="224"/>
    </row>
    <row r="32" customFormat="false" ht="9.75" hidden="false" customHeight="true" outlineLevel="0" collapsed="false">
      <c r="A32" s="224"/>
      <c r="B32" s="224"/>
      <c r="C32" s="224"/>
      <c r="D32" s="224"/>
      <c r="E32" s="224"/>
      <c r="F32" s="224"/>
      <c r="G32" s="224"/>
      <c r="H32" s="224"/>
      <c r="I32" s="224"/>
      <c r="J32" s="224"/>
      <c r="K32" s="224"/>
    </row>
    <row r="33" customFormat="false" ht="24" hidden="false" customHeight="true" outlineLevel="0" collapsed="false">
      <c r="A33" s="224"/>
      <c r="B33" s="227" t="s">
        <v>1202</v>
      </c>
      <c r="C33" s="227"/>
      <c r="D33" s="227"/>
      <c r="E33" s="227"/>
      <c r="F33" s="227"/>
      <c r="G33" s="227"/>
      <c r="H33" s="227"/>
      <c r="I33" s="227"/>
      <c r="J33" s="224"/>
      <c r="K33" s="224"/>
    </row>
    <row r="34" customFormat="false" ht="19.5" hidden="false" customHeight="true" outlineLevel="0" collapsed="false">
      <c r="A34" s="224"/>
      <c r="B34" s="233" t="s">
        <v>1203</v>
      </c>
      <c r="C34" s="233" t="s">
        <v>1204</v>
      </c>
      <c r="D34" s="233" t="s">
        <v>104</v>
      </c>
      <c r="E34" s="233" t="s">
        <v>1171</v>
      </c>
      <c r="F34" s="224"/>
      <c r="G34" s="224"/>
      <c r="H34" s="224"/>
      <c r="I34" s="224"/>
      <c r="J34" s="224"/>
      <c r="K34" s="224"/>
    </row>
    <row r="35" customFormat="false" ht="19.5" hidden="false" customHeight="true" outlineLevel="0" collapsed="false">
      <c r="A35" s="224"/>
      <c r="B35" s="646" t="s">
        <v>3</v>
      </c>
      <c r="C35" s="653" t="str">
        <f aca="false">Assumptions!B9</f>
        <v>Nexura Logistics Group</v>
      </c>
      <c r="D35" s="620" t="str">
        <f aca="false">Assumptions!C9</f>
        <v>Used in all sheet headers</v>
      </c>
      <c r="E35" s="623" t="s">
        <v>1173</v>
      </c>
      <c r="F35" s="224"/>
      <c r="G35" s="224"/>
      <c r="H35" s="224"/>
      <c r="I35" s="224"/>
      <c r="J35" s="224"/>
      <c r="K35" s="224"/>
    </row>
    <row r="36" customFormat="false" ht="19.5" hidden="false" customHeight="true" outlineLevel="0" collapsed="false">
      <c r="A36" s="224"/>
      <c r="B36" s="650" t="s">
        <v>6</v>
      </c>
      <c r="C36" s="654" t="str">
        <f aca="false">Assumptions!B10</f>
        <v>Transportation &amp; Logistics</v>
      </c>
      <c r="D36" s="627" t="str">
        <f aca="false">Assumptions!C10</f>
        <v>Affects SASB materiality and EF selection</v>
      </c>
      <c r="E36" s="631" t="s">
        <v>1173</v>
      </c>
      <c r="F36" s="224"/>
      <c r="G36" s="224"/>
      <c r="H36" s="224"/>
      <c r="I36" s="224"/>
      <c r="J36" s="224"/>
      <c r="K36" s="224"/>
    </row>
    <row r="37" customFormat="false" ht="19.5" hidden="false" customHeight="true" outlineLevel="0" collapsed="false">
      <c r="A37" s="224"/>
      <c r="B37" s="646" t="s">
        <v>1205</v>
      </c>
      <c r="C37" s="653" t="str">
        <f aca="false">Assumptions!B11</f>
        <v>United States</v>
      </c>
      <c r="D37" s="620" t="str">
        <f aca="false">Assumptions!C11</f>
        <v>Used to select default grid emission factor</v>
      </c>
      <c r="E37" s="623" t="s">
        <v>1173</v>
      </c>
      <c r="F37" s="224"/>
      <c r="G37" s="224"/>
      <c r="H37" s="224"/>
      <c r="I37" s="224"/>
      <c r="J37" s="224"/>
      <c r="K37" s="224"/>
    </row>
    <row r="38" customFormat="false" ht="19.5" hidden="false" customHeight="true" outlineLevel="0" collapsed="false">
      <c r="A38" s="224"/>
      <c r="B38" s="650" t="s">
        <v>516</v>
      </c>
      <c r="C38" s="654" t="n">
        <f aca="false">Assumptions!B12</f>
        <v>2024</v>
      </c>
      <c r="D38" s="627" t="str">
        <f aca="false">Assumptions!C12</f>
        <v>Year of primary data being analyzed</v>
      </c>
      <c r="E38" s="631" t="s">
        <v>1173</v>
      </c>
      <c r="F38" s="224"/>
      <c r="G38" s="224"/>
      <c r="H38" s="224"/>
      <c r="I38" s="224"/>
      <c r="J38" s="224"/>
      <c r="K38" s="224"/>
    </row>
    <row r="39" customFormat="false" ht="19.5" hidden="false" customHeight="true" outlineLevel="0" collapsed="false">
      <c r="A39" s="224"/>
      <c r="B39" s="646" t="s">
        <v>1206</v>
      </c>
      <c r="C39" s="655" t="n">
        <f aca="false">Assumptions!B15</f>
        <v>3850</v>
      </c>
      <c r="D39" s="620" t="str">
        <f aca="false">Assumptions!C15</f>
        <v>USD Millions</v>
      </c>
      <c r="E39" s="625" t="s">
        <v>1207</v>
      </c>
      <c r="F39" s="224"/>
      <c r="G39" s="224"/>
      <c r="H39" s="224"/>
      <c r="I39" s="224"/>
      <c r="J39" s="224"/>
      <c r="K39" s="224"/>
    </row>
    <row r="40" customFormat="false" ht="19.5" hidden="false" customHeight="true" outlineLevel="0" collapsed="false">
      <c r="A40" s="224"/>
      <c r="B40" s="650" t="s">
        <v>1208</v>
      </c>
      <c r="C40" s="656" t="n">
        <f aca="false">Assumptions!B16</f>
        <v>14200</v>
      </c>
      <c r="D40" s="627" t="str">
        <f aca="false">Assumptions!C16</f>
        <v>Headcount</v>
      </c>
      <c r="E40" s="632" t="s">
        <v>1207</v>
      </c>
      <c r="F40" s="224"/>
      <c r="G40" s="224"/>
      <c r="H40" s="224"/>
      <c r="I40" s="224"/>
      <c r="J40" s="224"/>
      <c r="K40" s="224"/>
    </row>
    <row r="41" customFormat="false" ht="15.75" hidden="false" customHeight="true" outlineLevel="0" collapsed="false">
      <c r="A41" s="224"/>
      <c r="B41" s="224"/>
      <c r="C41" s="224"/>
      <c r="D41" s="224"/>
      <c r="E41" s="224"/>
      <c r="F41" s="224"/>
      <c r="G41" s="224"/>
      <c r="H41" s="224"/>
      <c r="I41" s="224"/>
      <c r="J41" s="224"/>
      <c r="K41" s="224"/>
    </row>
    <row r="42" customFormat="false" ht="19.5" hidden="false" customHeight="true" outlineLevel="0" collapsed="false">
      <c r="A42" s="224"/>
      <c r="B42" s="657" t="s">
        <v>1209</v>
      </c>
      <c r="C42" s="657"/>
      <c r="D42" s="657"/>
      <c r="E42" s="657"/>
      <c r="F42" s="657"/>
      <c r="G42" s="657"/>
      <c r="H42" s="657"/>
      <c r="I42" s="657"/>
      <c r="J42" s="224"/>
      <c r="K42" s="224"/>
    </row>
    <row r="43" customFormat="false" ht="15.75" hidden="false" customHeight="true" outlineLevel="0" collapsed="false">
      <c r="A43" s="224"/>
      <c r="B43" s="224"/>
      <c r="C43" s="224"/>
      <c r="D43" s="224"/>
      <c r="E43" s="224"/>
      <c r="F43" s="224"/>
      <c r="G43" s="224"/>
      <c r="H43" s="224"/>
      <c r="I43" s="224"/>
      <c r="J43" s="224"/>
      <c r="K43" s="224"/>
    </row>
    <row r="44" customFormat="false" ht="15.75" hidden="false" customHeight="true" outlineLevel="0" collapsed="false">
      <c r="A44" s="224"/>
      <c r="B44" s="224"/>
      <c r="C44" s="224"/>
      <c r="D44" s="224"/>
      <c r="E44" s="224"/>
      <c r="F44" s="224"/>
      <c r="G44" s="224"/>
      <c r="H44" s="224"/>
      <c r="I44" s="224"/>
      <c r="J44" s="224"/>
      <c r="K44" s="224"/>
    </row>
    <row r="45" customFormat="false" ht="15.75" hidden="false" customHeight="true" outlineLevel="0" collapsed="false">
      <c r="A45" s="224"/>
      <c r="B45" s="224"/>
      <c r="C45" s="224"/>
      <c r="D45" s="224"/>
      <c r="E45" s="224"/>
      <c r="F45" s="224"/>
      <c r="G45" s="224"/>
      <c r="H45" s="224"/>
      <c r="I45" s="224"/>
      <c r="J45" s="224"/>
      <c r="K45" s="224"/>
    </row>
    <row r="46" customFormat="false" ht="15.75" hidden="false" customHeight="true" outlineLevel="0" collapsed="false">
      <c r="A46" s="224"/>
      <c r="B46" s="224"/>
      <c r="C46" s="224"/>
      <c r="D46" s="224"/>
      <c r="E46" s="224"/>
      <c r="F46" s="224"/>
      <c r="G46" s="224"/>
      <c r="H46" s="224"/>
      <c r="I46" s="224"/>
      <c r="J46" s="224"/>
      <c r="K46" s="224"/>
    </row>
    <row r="47" customFormat="false" ht="15.75" hidden="false" customHeight="true" outlineLevel="0" collapsed="false">
      <c r="A47" s="224"/>
      <c r="B47" s="224"/>
      <c r="C47" s="224"/>
      <c r="D47" s="224"/>
      <c r="E47" s="224"/>
      <c r="F47" s="224"/>
      <c r="G47" s="224"/>
      <c r="H47" s="224"/>
      <c r="I47" s="224"/>
      <c r="J47" s="224"/>
      <c r="K47" s="224"/>
    </row>
    <row r="48" customFormat="false" ht="15.75" hidden="false" customHeight="true" outlineLevel="0" collapsed="false">
      <c r="A48" s="224"/>
      <c r="B48" s="224"/>
      <c r="C48" s="224"/>
      <c r="D48" s="224"/>
      <c r="E48" s="224"/>
      <c r="F48" s="224"/>
      <c r="G48" s="224"/>
      <c r="H48" s="224"/>
      <c r="I48" s="224"/>
      <c r="J48" s="224"/>
      <c r="K48" s="224"/>
    </row>
    <row r="49" customFormat="false" ht="15.75" hidden="false" customHeight="true" outlineLevel="0" collapsed="false">
      <c r="A49" s="224"/>
      <c r="B49" s="224"/>
      <c r="C49" s="224"/>
      <c r="D49" s="224"/>
      <c r="E49" s="224"/>
      <c r="F49" s="224"/>
      <c r="G49" s="224"/>
      <c r="H49" s="224"/>
      <c r="I49" s="224"/>
      <c r="J49" s="224"/>
      <c r="K49" s="224"/>
    </row>
    <row r="50" customFormat="false" ht="15.75" hidden="false" customHeight="true" outlineLevel="0" collapsed="false">
      <c r="A50" s="224"/>
      <c r="B50" s="224"/>
      <c r="C50" s="224"/>
      <c r="D50" s="224"/>
      <c r="E50" s="224"/>
      <c r="F50" s="224"/>
      <c r="G50" s="224"/>
      <c r="H50" s="224"/>
      <c r="I50" s="224"/>
      <c r="J50" s="224"/>
      <c r="K50" s="224"/>
    </row>
    <row r="51" customFormat="false" ht="15.75" hidden="false" customHeight="true" outlineLevel="0" collapsed="false">
      <c r="A51" s="224"/>
      <c r="B51" s="224"/>
      <c r="C51" s="224"/>
      <c r="D51" s="224"/>
      <c r="E51" s="224"/>
      <c r="F51" s="224"/>
      <c r="G51" s="224"/>
      <c r="H51" s="224"/>
      <c r="I51" s="224"/>
      <c r="J51" s="224"/>
      <c r="K51" s="224"/>
    </row>
    <row r="52" customFormat="false" ht="15.75" hidden="false" customHeight="true" outlineLevel="0" collapsed="false">
      <c r="A52" s="224"/>
      <c r="B52" s="224"/>
      <c r="C52" s="224"/>
      <c r="D52" s="224"/>
      <c r="E52" s="224"/>
      <c r="F52" s="224"/>
      <c r="G52" s="224"/>
      <c r="H52" s="224"/>
      <c r="I52" s="224"/>
      <c r="J52" s="224"/>
      <c r="K52" s="224"/>
    </row>
    <row r="53" customFormat="false" ht="15.75" hidden="false" customHeight="true" outlineLevel="0" collapsed="false">
      <c r="A53" s="224"/>
      <c r="B53" s="224"/>
      <c r="C53" s="224"/>
      <c r="D53" s="224"/>
      <c r="E53" s="224"/>
      <c r="F53" s="224"/>
      <c r="G53" s="224"/>
      <c r="H53" s="224"/>
      <c r="I53" s="224"/>
      <c r="J53" s="224"/>
      <c r="K53" s="224"/>
    </row>
    <row r="54" customFormat="false" ht="15.75" hidden="false" customHeight="true" outlineLevel="0" collapsed="false">
      <c r="A54" s="224"/>
      <c r="B54" s="224"/>
      <c r="C54" s="224"/>
      <c r="D54" s="224"/>
      <c r="E54" s="224"/>
      <c r="F54" s="224"/>
      <c r="G54" s="224"/>
      <c r="H54" s="224"/>
      <c r="I54" s="224"/>
      <c r="J54" s="224"/>
      <c r="K54" s="224"/>
    </row>
    <row r="55" customFormat="false" ht="15.75" hidden="false" customHeight="true" outlineLevel="0" collapsed="false">
      <c r="A55" s="224"/>
      <c r="B55" s="224"/>
      <c r="C55" s="224"/>
      <c r="D55" s="224"/>
      <c r="E55" s="224"/>
      <c r="F55" s="224"/>
      <c r="G55" s="224"/>
      <c r="H55" s="224"/>
      <c r="I55" s="224"/>
      <c r="J55" s="224"/>
      <c r="K55" s="224"/>
    </row>
    <row r="56" customFormat="false" ht="15.75" hidden="false" customHeight="true" outlineLevel="0" collapsed="false">
      <c r="A56" s="224"/>
      <c r="B56" s="224"/>
      <c r="C56" s="224"/>
      <c r="D56" s="224"/>
      <c r="E56" s="224"/>
      <c r="F56" s="224"/>
      <c r="G56" s="224"/>
      <c r="H56" s="224"/>
      <c r="I56" s="224"/>
      <c r="J56" s="224"/>
      <c r="K56" s="224"/>
    </row>
    <row r="57" customFormat="false" ht="15.75" hidden="false" customHeight="true" outlineLevel="0" collapsed="false">
      <c r="A57" s="224"/>
      <c r="B57" s="224"/>
      <c r="C57" s="224"/>
      <c r="D57" s="224"/>
      <c r="E57" s="224"/>
      <c r="F57" s="224"/>
      <c r="G57" s="224"/>
      <c r="H57" s="224"/>
      <c r="I57" s="224"/>
      <c r="J57" s="224"/>
      <c r="K57" s="224"/>
    </row>
    <row r="58" customFormat="false" ht="15.75" hidden="false" customHeight="true" outlineLevel="0" collapsed="false">
      <c r="A58" s="224"/>
      <c r="B58" s="224"/>
      <c r="C58" s="224"/>
      <c r="D58" s="224"/>
      <c r="E58" s="224"/>
      <c r="F58" s="224"/>
      <c r="G58" s="224"/>
      <c r="H58" s="224"/>
      <c r="I58" s="224"/>
      <c r="J58" s="224"/>
      <c r="K58" s="224"/>
    </row>
    <row r="59" customFormat="false" ht="15.75" hidden="false" customHeight="true" outlineLevel="0" collapsed="false">
      <c r="A59" s="224"/>
      <c r="B59" s="224"/>
      <c r="C59" s="224"/>
      <c r="D59" s="224"/>
      <c r="E59" s="224"/>
      <c r="F59" s="224"/>
      <c r="G59" s="224"/>
      <c r="H59" s="224"/>
      <c r="I59" s="224"/>
      <c r="J59" s="224"/>
      <c r="K59" s="224"/>
    </row>
    <row r="60" customFormat="false" ht="15.75" hidden="false" customHeight="true" outlineLevel="0" collapsed="false">
      <c r="A60" s="224"/>
      <c r="B60" s="224"/>
      <c r="C60" s="224"/>
      <c r="D60" s="224"/>
      <c r="E60" s="224"/>
      <c r="F60" s="224"/>
      <c r="G60" s="224"/>
      <c r="H60" s="224"/>
      <c r="I60" s="224"/>
      <c r="J60" s="224"/>
      <c r="K60" s="224"/>
    </row>
    <row r="61" customFormat="false" ht="15.75" hidden="false" customHeight="true" outlineLevel="0" collapsed="false">
      <c r="A61" s="224"/>
      <c r="B61" s="224"/>
      <c r="C61" s="224"/>
      <c r="D61" s="224"/>
      <c r="E61" s="224"/>
      <c r="F61" s="224"/>
      <c r="G61" s="224"/>
      <c r="H61" s="224"/>
      <c r="I61" s="224"/>
      <c r="J61" s="224"/>
      <c r="K61" s="224"/>
    </row>
    <row r="62" customFormat="false" ht="15.75" hidden="false" customHeight="true" outlineLevel="0" collapsed="false">
      <c r="A62" s="224"/>
      <c r="B62" s="224"/>
      <c r="C62" s="224"/>
      <c r="D62" s="224"/>
      <c r="E62" s="224"/>
      <c r="F62" s="224"/>
      <c r="G62" s="224"/>
      <c r="H62" s="224"/>
      <c r="I62" s="224"/>
      <c r="J62" s="224"/>
      <c r="K62" s="224"/>
    </row>
    <row r="63" customFormat="false" ht="15.75" hidden="false" customHeight="true" outlineLevel="0" collapsed="false">
      <c r="A63" s="224"/>
      <c r="B63" s="224"/>
      <c r="C63" s="224"/>
      <c r="D63" s="224"/>
      <c r="E63" s="224"/>
      <c r="F63" s="224"/>
      <c r="G63" s="224"/>
      <c r="H63" s="224"/>
      <c r="I63" s="224"/>
      <c r="J63" s="224"/>
      <c r="K63" s="224"/>
    </row>
    <row r="64" customFormat="false" ht="15.75" hidden="false" customHeight="true" outlineLevel="0" collapsed="false">
      <c r="A64" s="224"/>
      <c r="B64" s="224"/>
      <c r="C64" s="224"/>
      <c r="D64" s="224"/>
      <c r="E64" s="224"/>
      <c r="F64" s="224"/>
      <c r="G64" s="224"/>
      <c r="H64" s="224"/>
      <c r="I64" s="224"/>
      <c r="J64" s="224"/>
      <c r="K64" s="224"/>
    </row>
    <row r="65" customFormat="false" ht="15.75" hidden="false" customHeight="true" outlineLevel="0" collapsed="false">
      <c r="A65" s="224"/>
      <c r="B65" s="224"/>
      <c r="C65" s="224"/>
      <c r="D65" s="224"/>
      <c r="E65" s="224"/>
      <c r="F65" s="224"/>
      <c r="G65" s="224"/>
      <c r="H65" s="224"/>
      <c r="I65" s="224"/>
      <c r="J65" s="224"/>
      <c r="K65" s="224"/>
    </row>
    <row r="66" customFormat="false" ht="15.75" hidden="false" customHeight="true" outlineLevel="0" collapsed="false">
      <c r="A66" s="224"/>
      <c r="B66" s="224"/>
      <c r="C66" s="224"/>
      <c r="D66" s="224"/>
      <c r="E66" s="224"/>
      <c r="F66" s="224"/>
      <c r="G66" s="224"/>
      <c r="H66" s="224"/>
      <c r="I66" s="224"/>
      <c r="J66" s="224"/>
      <c r="K66" s="224"/>
    </row>
    <row r="67" customFormat="false" ht="15.75" hidden="false" customHeight="true" outlineLevel="0" collapsed="false">
      <c r="A67" s="224"/>
      <c r="B67" s="224"/>
      <c r="C67" s="224"/>
      <c r="D67" s="224"/>
      <c r="E67" s="224"/>
      <c r="F67" s="224"/>
      <c r="G67" s="224"/>
      <c r="H67" s="224"/>
      <c r="I67" s="224"/>
      <c r="J67" s="224"/>
      <c r="K67" s="224"/>
    </row>
    <row r="68" customFormat="false" ht="15.75" hidden="false" customHeight="true" outlineLevel="0" collapsed="false">
      <c r="A68" s="224"/>
      <c r="B68" s="224"/>
      <c r="C68" s="224"/>
      <c r="D68" s="224"/>
      <c r="E68" s="224"/>
      <c r="F68" s="224"/>
      <c r="G68" s="224"/>
      <c r="H68" s="224"/>
      <c r="I68" s="224"/>
      <c r="J68" s="224"/>
      <c r="K68" s="224"/>
    </row>
    <row r="69" customFormat="false" ht="15.75" hidden="false" customHeight="true" outlineLevel="0" collapsed="false">
      <c r="A69" s="224"/>
      <c r="B69" s="224"/>
      <c r="C69" s="224"/>
      <c r="D69" s="224"/>
      <c r="E69" s="224"/>
      <c r="F69" s="224"/>
      <c r="G69" s="224"/>
      <c r="H69" s="224"/>
      <c r="I69" s="224"/>
      <c r="J69" s="224"/>
      <c r="K69" s="224"/>
    </row>
    <row r="70" customFormat="false" ht="15.75" hidden="false" customHeight="true" outlineLevel="0" collapsed="false">
      <c r="A70" s="224"/>
      <c r="B70" s="224"/>
      <c r="C70" s="224"/>
      <c r="D70" s="224"/>
      <c r="E70" s="224"/>
      <c r="F70" s="224"/>
      <c r="G70" s="224"/>
      <c r="H70" s="224"/>
      <c r="I70" s="224"/>
      <c r="J70" s="224"/>
      <c r="K70" s="224"/>
    </row>
    <row r="71" customFormat="false" ht="15.75" hidden="false" customHeight="true" outlineLevel="0" collapsed="false">
      <c r="A71" s="224"/>
      <c r="B71" s="224"/>
      <c r="C71" s="224"/>
      <c r="D71" s="224"/>
      <c r="E71" s="224"/>
      <c r="F71" s="224"/>
      <c r="G71" s="224"/>
      <c r="H71" s="224"/>
      <c r="I71" s="224"/>
      <c r="J71" s="224"/>
      <c r="K71" s="224"/>
    </row>
    <row r="72" customFormat="false" ht="15.75" hidden="false" customHeight="true" outlineLevel="0" collapsed="false">
      <c r="A72" s="224"/>
      <c r="B72" s="224"/>
      <c r="C72" s="224"/>
      <c r="D72" s="224"/>
      <c r="E72" s="224"/>
      <c r="F72" s="224"/>
      <c r="G72" s="224"/>
      <c r="H72" s="224"/>
      <c r="I72" s="224"/>
      <c r="J72" s="224"/>
      <c r="K72" s="224"/>
    </row>
    <row r="73" customFormat="false" ht="15.75" hidden="false" customHeight="true" outlineLevel="0" collapsed="false">
      <c r="A73" s="224"/>
      <c r="B73" s="224"/>
      <c r="C73" s="224"/>
      <c r="D73" s="224"/>
      <c r="E73" s="224"/>
      <c r="F73" s="224"/>
      <c r="G73" s="224"/>
      <c r="H73" s="224"/>
      <c r="I73" s="224"/>
      <c r="J73" s="224"/>
      <c r="K73" s="224"/>
    </row>
    <row r="74" customFormat="false" ht="15.75" hidden="false" customHeight="true" outlineLevel="0" collapsed="false">
      <c r="A74" s="224"/>
      <c r="B74" s="224"/>
      <c r="C74" s="224"/>
      <c r="D74" s="224"/>
      <c r="E74" s="224"/>
      <c r="F74" s="224"/>
      <c r="G74" s="224"/>
      <c r="H74" s="224"/>
      <c r="I74" s="224"/>
      <c r="J74" s="224"/>
      <c r="K74" s="224"/>
    </row>
    <row r="75" customFormat="false" ht="15.75" hidden="false" customHeight="true" outlineLevel="0" collapsed="false">
      <c r="A75" s="224"/>
      <c r="B75" s="224"/>
      <c r="C75" s="224"/>
      <c r="D75" s="224"/>
      <c r="E75" s="224"/>
      <c r="F75" s="224"/>
      <c r="G75" s="224"/>
      <c r="H75" s="224"/>
      <c r="I75" s="224"/>
      <c r="J75" s="224"/>
      <c r="K75" s="224"/>
    </row>
    <row r="76" customFormat="false" ht="15.75" hidden="false" customHeight="true" outlineLevel="0" collapsed="false">
      <c r="A76" s="224"/>
      <c r="B76" s="224"/>
      <c r="C76" s="224"/>
      <c r="D76" s="224"/>
      <c r="E76" s="224"/>
      <c r="F76" s="224"/>
      <c r="G76" s="224"/>
      <c r="H76" s="224"/>
      <c r="I76" s="224"/>
      <c r="J76" s="224"/>
      <c r="K76" s="224"/>
    </row>
    <row r="77" customFormat="false" ht="15.75" hidden="false" customHeight="true" outlineLevel="0" collapsed="false">
      <c r="A77" s="224"/>
      <c r="B77" s="224"/>
      <c r="C77" s="224"/>
      <c r="D77" s="224"/>
      <c r="E77" s="224"/>
      <c r="F77" s="224"/>
      <c r="G77" s="224"/>
      <c r="H77" s="224"/>
      <c r="I77" s="224"/>
      <c r="J77" s="224"/>
      <c r="K77" s="224"/>
    </row>
    <row r="78" customFormat="false" ht="15.75" hidden="false" customHeight="true" outlineLevel="0" collapsed="false">
      <c r="A78" s="224"/>
      <c r="B78" s="224"/>
      <c r="C78" s="224"/>
      <c r="D78" s="224"/>
      <c r="E78" s="224"/>
      <c r="F78" s="224"/>
      <c r="G78" s="224"/>
      <c r="H78" s="224"/>
      <c r="I78" s="224"/>
      <c r="J78" s="224"/>
      <c r="K78" s="224"/>
    </row>
    <row r="79" customFormat="false" ht="15.75" hidden="false" customHeight="true" outlineLevel="0" collapsed="false">
      <c r="A79" s="224"/>
      <c r="B79" s="224"/>
      <c r="C79" s="224"/>
      <c r="D79" s="224"/>
      <c r="E79" s="224"/>
      <c r="F79" s="224"/>
      <c r="G79" s="224"/>
      <c r="H79" s="224"/>
      <c r="I79" s="224"/>
      <c r="J79" s="224"/>
      <c r="K79" s="224"/>
    </row>
    <row r="80" customFormat="false" ht="15.75" hidden="false" customHeight="true" outlineLevel="0" collapsed="false">
      <c r="A80" s="224"/>
      <c r="B80" s="224"/>
      <c r="C80" s="224"/>
      <c r="D80" s="224"/>
      <c r="E80" s="224"/>
      <c r="F80" s="224"/>
      <c r="G80" s="224"/>
      <c r="H80" s="224"/>
      <c r="I80" s="224"/>
      <c r="J80" s="224"/>
      <c r="K80" s="224"/>
    </row>
    <row r="81" customFormat="false" ht="15.75" hidden="false" customHeight="true" outlineLevel="0" collapsed="false">
      <c r="A81" s="224"/>
      <c r="B81" s="224"/>
      <c r="C81" s="224"/>
      <c r="D81" s="224"/>
      <c r="E81" s="224"/>
      <c r="F81" s="224"/>
      <c r="G81" s="224"/>
      <c r="H81" s="224"/>
      <c r="I81" s="224"/>
      <c r="J81" s="224"/>
      <c r="K81" s="224"/>
    </row>
    <row r="82" customFormat="false" ht="15.75" hidden="false" customHeight="true" outlineLevel="0" collapsed="false">
      <c r="A82" s="224"/>
      <c r="B82" s="224"/>
      <c r="C82" s="224"/>
      <c r="D82" s="224"/>
      <c r="E82" s="224"/>
      <c r="F82" s="224"/>
      <c r="G82" s="224"/>
      <c r="H82" s="224"/>
      <c r="I82" s="224"/>
      <c r="J82" s="224"/>
      <c r="K82" s="224"/>
    </row>
    <row r="83" customFormat="false" ht="15.75" hidden="false" customHeight="true" outlineLevel="0" collapsed="false">
      <c r="A83" s="224"/>
      <c r="B83" s="224"/>
      <c r="C83" s="224"/>
      <c r="D83" s="224"/>
      <c r="E83" s="224"/>
      <c r="F83" s="224"/>
      <c r="G83" s="224"/>
      <c r="H83" s="224"/>
      <c r="I83" s="224"/>
      <c r="J83" s="224"/>
      <c r="K83" s="224"/>
    </row>
    <row r="84" customFormat="false" ht="15.75" hidden="false" customHeight="true" outlineLevel="0" collapsed="false">
      <c r="A84" s="224"/>
      <c r="B84" s="224"/>
      <c r="C84" s="224"/>
      <c r="D84" s="224"/>
      <c r="E84" s="224"/>
      <c r="F84" s="224"/>
      <c r="G84" s="224"/>
      <c r="H84" s="224"/>
      <c r="I84" s="224"/>
      <c r="J84" s="224"/>
      <c r="K84" s="224"/>
    </row>
    <row r="85" customFormat="false" ht="15.75" hidden="false" customHeight="true" outlineLevel="0" collapsed="false">
      <c r="A85" s="224"/>
      <c r="B85" s="224"/>
      <c r="C85" s="224"/>
      <c r="D85" s="224"/>
      <c r="E85" s="224"/>
      <c r="F85" s="224"/>
      <c r="G85" s="224"/>
      <c r="H85" s="224"/>
      <c r="I85" s="224"/>
      <c r="J85" s="224"/>
      <c r="K85" s="224"/>
    </row>
    <row r="86" customFormat="false" ht="15.75" hidden="false" customHeight="true" outlineLevel="0" collapsed="false">
      <c r="A86" s="224"/>
      <c r="B86" s="224"/>
      <c r="C86" s="224"/>
      <c r="D86" s="224"/>
      <c r="E86" s="224"/>
      <c r="F86" s="224"/>
      <c r="G86" s="224"/>
      <c r="H86" s="224"/>
      <c r="I86" s="224"/>
      <c r="J86" s="224"/>
      <c r="K86" s="224"/>
    </row>
    <row r="87" customFormat="false" ht="15.75" hidden="false" customHeight="true" outlineLevel="0" collapsed="false">
      <c r="A87" s="224"/>
      <c r="B87" s="224"/>
      <c r="C87" s="224"/>
      <c r="D87" s="224"/>
      <c r="E87" s="224"/>
      <c r="F87" s="224"/>
      <c r="G87" s="224"/>
      <c r="H87" s="224"/>
      <c r="I87" s="224"/>
      <c r="J87" s="224"/>
      <c r="K87" s="224"/>
    </row>
    <row r="88" customFormat="false" ht="15.75" hidden="false" customHeight="true" outlineLevel="0" collapsed="false">
      <c r="A88" s="224"/>
      <c r="B88" s="224"/>
      <c r="C88" s="224"/>
      <c r="D88" s="224"/>
      <c r="E88" s="224"/>
      <c r="F88" s="224"/>
      <c r="G88" s="224"/>
      <c r="H88" s="224"/>
      <c r="I88" s="224"/>
      <c r="J88" s="224"/>
      <c r="K88" s="224"/>
    </row>
    <row r="89" customFormat="false" ht="15.75" hidden="false" customHeight="true" outlineLevel="0" collapsed="false">
      <c r="A89" s="224"/>
      <c r="B89" s="224"/>
      <c r="C89" s="224"/>
      <c r="D89" s="224"/>
      <c r="E89" s="224"/>
      <c r="F89" s="224"/>
      <c r="G89" s="224"/>
      <c r="H89" s="224"/>
      <c r="I89" s="224"/>
      <c r="J89" s="224"/>
      <c r="K89" s="224"/>
    </row>
    <row r="90" customFormat="false" ht="15.75" hidden="false" customHeight="true" outlineLevel="0" collapsed="false">
      <c r="A90" s="224"/>
      <c r="B90" s="224"/>
      <c r="C90" s="224"/>
      <c r="D90" s="224"/>
      <c r="E90" s="224"/>
      <c r="F90" s="224"/>
      <c r="G90" s="224"/>
      <c r="H90" s="224"/>
      <c r="I90" s="224"/>
      <c r="J90" s="224"/>
      <c r="K90" s="224"/>
    </row>
    <row r="91" customFormat="false" ht="15.75" hidden="false" customHeight="true" outlineLevel="0" collapsed="false">
      <c r="A91" s="224"/>
      <c r="B91" s="224"/>
      <c r="C91" s="224"/>
      <c r="D91" s="224"/>
      <c r="E91" s="224"/>
      <c r="F91" s="224"/>
      <c r="G91" s="224"/>
      <c r="H91" s="224"/>
      <c r="I91" s="224"/>
      <c r="J91" s="224"/>
      <c r="K91" s="224"/>
    </row>
    <row r="92" customFormat="false" ht="15.75" hidden="false" customHeight="true" outlineLevel="0" collapsed="false">
      <c r="A92" s="224"/>
      <c r="B92" s="224"/>
      <c r="C92" s="224"/>
      <c r="D92" s="224"/>
      <c r="E92" s="224"/>
      <c r="F92" s="224"/>
      <c r="G92" s="224"/>
      <c r="H92" s="224"/>
      <c r="I92" s="224"/>
      <c r="J92" s="224"/>
      <c r="K92" s="224"/>
    </row>
    <row r="93" customFormat="false" ht="15.75" hidden="false" customHeight="true" outlineLevel="0" collapsed="false">
      <c r="A93" s="224"/>
      <c r="B93" s="224"/>
      <c r="C93" s="224"/>
      <c r="D93" s="224"/>
      <c r="E93" s="224"/>
      <c r="F93" s="224"/>
      <c r="G93" s="224"/>
      <c r="H93" s="224"/>
      <c r="I93" s="224"/>
      <c r="J93" s="224"/>
      <c r="K93" s="224"/>
    </row>
    <row r="94" customFormat="false" ht="15.75" hidden="false" customHeight="true" outlineLevel="0" collapsed="false">
      <c r="A94" s="224"/>
      <c r="B94" s="224"/>
      <c r="C94" s="224"/>
      <c r="D94" s="224"/>
      <c r="E94" s="224"/>
      <c r="F94" s="224"/>
      <c r="G94" s="224"/>
      <c r="H94" s="224"/>
      <c r="I94" s="224"/>
      <c r="J94" s="224"/>
      <c r="K94" s="224"/>
    </row>
    <row r="95" customFormat="false" ht="15.75" hidden="false" customHeight="true" outlineLevel="0" collapsed="false">
      <c r="A95" s="224"/>
      <c r="B95" s="224"/>
      <c r="C95" s="224"/>
      <c r="D95" s="224"/>
      <c r="E95" s="224"/>
      <c r="F95" s="224"/>
      <c r="G95" s="224"/>
      <c r="H95" s="224"/>
      <c r="I95" s="224"/>
      <c r="J95" s="224"/>
      <c r="K95" s="224"/>
    </row>
    <row r="96" customFormat="false" ht="15.75" hidden="false" customHeight="true" outlineLevel="0" collapsed="false">
      <c r="A96" s="224"/>
      <c r="B96" s="224"/>
      <c r="C96" s="224"/>
      <c r="D96" s="224"/>
      <c r="E96" s="224"/>
      <c r="F96" s="224"/>
      <c r="G96" s="224"/>
      <c r="H96" s="224"/>
      <c r="I96" s="224"/>
      <c r="J96" s="224"/>
      <c r="K96" s="224"/>
    </row>
    <row r="97" customFormat="false" ht="15.75" hidden="false" customHeight="true" outlineLevel="0" collapsed="false">
      <c r="A97" s="224"/>
      <c r="B97" s="224"/>
      <c r="C97" s="224"/>
      <c r="D97" s="224"/>
      <c r="E97" s="224"/>
      <c r="F97" s="224"/>
      <c r="G97" s="224"/>
      <c r="H97" s="224"/>
      <c r="I97" s="224"/>
      <c r="J97" s="224"/>
      <c r="K97" s="224"/>
    </row>
    <row r="98" customFormat="false" ht="15.75" hidden="false" customHeight="true" outlineLevel="0" collapsed="false">
      <c r="A98" s="224"/>
      <c r="B98" s="224"/>
      <c r="C98" s="224"/>
      <c r="D98" s="224"/>
      <c r="E98" s="224"/>
      <c r="F98" s="224"/>
      <c r="G98" s="224"/>
      <c r="H98" s="224"/>
      <c r="I98" s="224"/>
      <c r="J98" s="224"/>
      <c r="K98" s="224"/>
    </row>
    <row r="99" customFormat="false" ht="15.75" hidden="false" customHeight="true" outlineLevel="0" collapsed="false">
      <c r="A99" s="224"/>
      <c r="B99" s="224"/>
      <c r="C99" s="224"/>
      <c r="D99" s="224"/>
      <c r="E99" s="224"/>
      <c r="F99" s="224"/>
      <c r="G99" s="224"/>
      <c r="H99" s="224"/>
      <c r="I99" s="224"/>
      <c r="J99" s="224"/>
      <c r="K99" s="224"/>
    </row>
    <row r="100" customFormat="false" ht="14.25" hidden="false" customHeight="true" outlineLevel="0" collapsed="false">
      <c r="A100" s="224"/>
      <c r="B100" s="224"/>
      <c r="C100" s="224"/>
      <c r="D100" s="224"/>
      <c r="E100" s="224"/>
      <c r="F100" s="224"/>
      <c r="G100" s="224"/>
      <c r="H100" s="224"/>
      <c r="I100" s="224"/>
      <c r="J100" s="224"/>
      <c r="K100" s="224"/>
    </row>
  </sheetData>
  <mergeCells count="23">
    <mergeCell ref="B2:I2"/>
    <mergeCell ref="B3:I3"/>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B11:I11"/>
    <mergeCell ref="B18:I18"/>
    <mergeCell ref="B24:I24"/>
    <mergeCell ref="B33:I33"/>
    <mergeCell ref="B42:I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2026-02-24T05:03:02Z</dcterms:created>
  <dc:creator>openpyxl</dc:creator>
  <dc:description/>
  <dc:language>en-US</dc:language>
  <cp:lastModifiedBy/>
  <dcterms:modified xsi:type="dcterms:W3CDTF">2026-04-08T05:55:38Z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